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69cff458dc10a4/MY EXCEL/"/>
    </mc:Choice>
  </mc:AlternateContent>
  <xr:revisionPtr revIDLastSave="8" documentId="11_AAA5052447FB0BBDC9E170041BC454B863EDA505" xr6:coauthVersionLast="47" xr6:coauthVersionMax="47" xr10:uidLastSave="{B30B6D36-5075-4F73-ACE5-AFAE09FDFEA4}"/>
  <bookViews>
    <workbookView xWindow="-108" yWindow="-108" windowWidth="23256" windowHeight="12456" activeTab="1" xr2:uid="{00000000-000D-0000-FFFF-FFFF00000000}"/>
  </bookViews>
  <sheets>
    <sheet name="RAW DATASET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R9+b5RllXzhx4uAPNdgI4FgQrn7ZBAJCSo3x5ggTB0="/>
    </ext>
  </extLst>
</workbook>
</file>

<file path=xl/calcChain.xml><?xml version="1.0" encoding="utf-8"?>
<calcChain xmlns="http://schemas.openxmlformats.org/spreadsheetml/2006/main">
  <c r="I7" i="2" l="1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G142" i="2"/>
  <c r="H142" i="2" s="1" a="1"/>
  <c r="G174" i="2"/>
  <c r="H174" i="2" s="1" a="1"/>
  <c r="G148" i="2"/>
  <c r="H148" i="2" s="1" a="1"/>
  <c r="G112" i="2"/>
  <c r="H112" i="2" s="1" a="1"/>
  <c r="G32" i="2"/>
  <c r="H32" i="2" s="1" a="1"/>
  <c r="G81" i="2"/>
  <c r="H81" i="2" s="1" a="1"/>
  <c r="G27" i="2"/>
  <c r="H27" i="2" s="1" a="1"/>
  <c r="G19" i="2"/>
  <c r="H19" i="2" s="1" a="1"/>
  <c r="G75" i="2"/>
  <c r="H75" i="2" s="1" a="1"/>
  <c r="G121" i="2"/>
  <c r="H121" i="2" s="1" a="1"/>
  <c r="G83" i="2"/>
  <c r="H83" i="2" s="1" a="1"/>
  <c r="G154" i="2"/>
  <c r="H154" i="2" s="1" a="1"/>
  <c r="G102" i="2"/>
  <c r="H102" i="2" s="1" a="1"/>
  <c r="G85" i="2"/>
  <c r="H85" i="2" s="1" a="1"/>
  <c r="G221" i="2"/>
  <c r="H221" i="2" s="1" a="1"/>
  <c r="G48" i="2"/>
  <c r="H48" i="2" s="1" a="1"/>
  <c r="G197" i="2"/>
  <c r="H197" i="2" s="1" a="1"/>
  <c r="G171" i="2"/>
  <c r="H171" i="2" s="1" a="1"/>
  <c r="G57" i="2"/>
  <c r="H57" i="2" s="1" a="1"/>
  <c r="G158" i="2"/>
  <c r="H158" i="2" s="1" a="1"/>
  <c r="G179" i="2"/>
  <c r="H179" i="2" s="1" a="1"/>
  <c r="G54" i="2"/>
  <c r="H54" i="2" s="1" a="1"/>
  <c r="G62" i="2"/>
  <c r="H62" i="2" s="1" a="1"/>
  <c r="G53" i="2"/>
  <c r="H53" i="2" s="1" a="1"/>
  <c r="G203" i="2"/>
  <c r="H203" i="2" s="1" a="1"/>
  <c r="G97" i="2"/>
  <c r="H97" i="2" s="1" a="1"/>
  <c r="G29" i="2"/>
  <c r="H29" i="2" s="1" a="1"/>
  <c r="G225" i="2"/>
  <c r="H225" i="2" s="1" a="1"/>
  <c r="G205" i="2"/>
  <c r="H205" i="2" s="1" a="1"/>
  <c r="G251" i="2"/>
  <c r="H251" i="2" s="1" a="1"/>
  <c r="G177" i="2"/>
  <c r="H177" i="2" s="1" a="1"/>
  <c r="G110" i="2"/>
  <c r="H110" i="2" s="1" a="1"/>
  <c r="G21" i="2"/>
  <c r="H21" i="2" s="1" a="1"/>
  <c r="G106" i="2"/>
  <c r="H106" i="2" s="1" a="1"/>
  <c r="G68" i="2"/>
  <c r="H68" i="2" s="1" a="1"/>
  <c r="G137" i="2"/>
  <c r="H137" i="2" s="1" a="1"/>
  <c r="G117" i="2"/>
  <c r="H117" i="2" s="1" a="1"/>
  <c r="G220" i="2"/>
  <c r="H220" i="2" s="1" a="1"/>
  <c r="G34" i="2"/>
  <c r="H34" i="2" s="1" a="1"/>
  <c r="G49" i="2"/>
  <c r="H49" i="2" s="1" a="1"/>
  <c r="G23" i="2"/>
  <c r="H23" i="2" s="1" a="1"/>
  <c r="G7" i="2"/>
  <c r="H7" i="2" s="1" a="1"/>
  <c r="G163" i="2"/>
  <c r="H163" i="2" s="1" a="1"/>
  <c r="G4" i="2"/>
  <c r="H4" i="2" s="1" a="1"/>
  <c r="I4" i="2" s="1" a="1"/>
  <c r="G244" i="2"/>
  <c r="H244" i="2" s="1" a="1"/>
  <c r="G18" i="2"/>
  <c r="H18" i="2" s="1" a="1"/>
  <c r="G162" i="2"/>
  <c r="H162" i="2" s="1" a="1"/>
  <c r="G63" i="2"/>
  <c r="H63" i="2" s="1" a="1"/>
  <c r="G194" i="2"/>
  <c r="H194" i="2" s="1" a="1"/>
  <c r="G224" i="2"/>
  <c r="H224" i="2" s="1" a="1"/>
  <c r="G98" i="2"/>
  <c r="H98" i="2" s="1" a="1"/>
  <c r="G215" i="2"/>
  <c r="H215" i="2" s="1" a="1"/>
  <c r="G151" i="2"/>
  <c r="H151" i="2" s="1" a="1"/>
  <c r="G82" i="2"/>
  <c r="H82" i="2" s="1" a="1"/>
  <c r="G92" i="2"/>
  <c r="H92" i="2" s="1" a="1"/>
  <c r="G209" i="2"/>
  <c r="H209" i="2" s="1" a="1"/>
  <c r="G36" i="2"/>
  <c r="H36" i="2" s="1" a="1"/>
  <c r="G67" i="2"/>
  <c r="H67" i="2" s="1" a="1"/>
  <c r="G79" i="2"/>
  <c r="H79" i="2" s="1" a="1"/>
  <c r="G5" i="2"/>
  <c r="H5" i="2" s="1" a="1"/>
  <c r="I5" i="2" s="1" a="1"/>
  <c r="G147" i="2"/>
  <c r="H147" i="2" s="1" a="1"/>
  <c r="G240" i="2"/>
  <c r="H240" i="2" s="1" a="1"/>
  <c r="G52" i="2"/>
  <c r="H52" i="2" s="1" a="1"/>
  <c r="G14" i="2"/>
  <c r="H14" i="2" s="1" a="1"/>
  <c r="G118" i="2"/>
  <c r="H118" i="2" s="1" a="1"/>
  <c r="G61" i="2"/>
  <c r="H61" i="2" s="1" a="1"/>
  <c r="G139" i="2"/>
  <c r="H139" i="2" s="1" a="1"/>
  <c r="G126" i="2"/>
  <c r="H126" i="2" s="1" a="1"/>
  <c r="G152" i="2"/>
  <c r="H152" i="2" s="1" a="1"/>
  <c r="G226" i="2"/>
  <c r="H226" i="2" s="1" a="1"/>
  <c r="G20" i="2"/>
  <c r="H20" i="2" s="1" a="1"/>
  <c r="G180" i="2"/>
  <c r="H180" i="2" s="1" a="1"/>
  <c r="G196" i="2"/>
  <c r="H196" i="2" s="1" a="1"/>
  <c r="G113" i="2"/>
  <c r="H113" i="2" s="1" a="1"/>
  <c r="G129" i="2"/>
  <c r="H129" i="2" s="1" a="1"/>
  <c r="G2" i="2"/>
  <c r="H2" i="2" s="1" a="1"/>
  <c r="I2" i="2" s="1" a="1"/>
  <c r="G107" i="2"/>
  <c r="H107" i="2" s="1" a="1"/>
  <c r="G231" i="2"/>
  <c r="H231" i="2" s="1" a="1"/>
  <c r="G187" i="2"/>
  <c r="H187" i="2" s="1" a="1"/>
  <c r="G235" i="2"/>
  <c r="H235" i="2" s="1" a="1"/>
  <c r="G3" i="2"/>
  <c r="H3" i="2" s="1" a="1"/>
  <c r="I3" i="2" s="1" a="1"/>
  <c r="G195" i="2"/>
  <c r="H195" i="2" s="1" a="1"/>
  <c r="G69" i="2"/>
  <c r="H69" i="2" s="1" a="1"/>
  <c r="G229" i="2"/>
  <c r="H229" i="2" s="1" a="1"/>
  <c r="G74" i="2"/>
  <c r="H74" i="2" s="1" a="1"/>
  <c r="G161" i="2"/>
  <c r="H161" i="2" s="1" a="1"/>
  <c r="G66" i="2"/>
  <c r="H66" i="2" s="1" a="1"/>
  <c r="G222" i="2"/>
  <c r="H222" i="2" s="1" a="1"/>
  <c r="G245" i="2"/>
  <c r="H245" i="2" s="1" a="1"/>
  <c r="G40" i="2"/>
  <c r="H40" i="2" s="1" a="1"/>
  <c r="G189" i="2"/>
  <c r="H189" i="2" s="1" a="1"/>
  <c r="G185" i="2"/>
  <c r="H185" i="2" s="1" a="1"/>
  <c r="G78" i="2"/>
  <c r="H78" i="2" s="1" a="1"/>
  <c r="G26" i="2"/>
  <c r="H26" i="2" s="1" a="1"/>
  <c r="G182" i="2"/>
  <c r="H182" i="2" s="1" a="1"/>
  <c r="G242" i="2"/>
  <c r="H242" i="2" s="1" a="1"/>
  <c r="G108" i="2"/>
  <c r="H108" i="2" s="1" a="1"/>
  <c r="G141" i="2"/>
  <c r="H141" i="2" s="1" a="1"/>
  <c r="G6" i="2"/>
  <c r="H6" i="2" s="1" a="1"/>
  <c r="I6" i="2" s="1" a="1"/>
  <c r="G184" i="2"/>
  <c r="H184" i="2" s="1" a="1"/>
  <c r="G165" i="2"/>
  <c r="H165" i="2" s="1" a="1"/>
  <c r="G134" i="2"/>
  <c r="H134" i="2" s="1" a="1"/>
  <c r="G11" i="2"/>
  <c r="H11" i="2" s="1" a="1"/>
  <c r="G45" i="2"/>
  <c r="H45" i="2" s="1" a="1"/>
  <c r="G104" i="2"/>
  <c r="H104" i="2" s="1" a="1"/>
  <c r="G125" i="2"/>
  <c r="H125" i="2" s="1" a="1"/>
  <c r="G9" i="2"/>
  <c r="H9" i="2" s="1" a="1"/>
  <c r="G218" i="2"/>
  <c r="H218" i="2" s="1" a="1"/>
  <c r="G10" i="2"/>
  <c r="H10" i="2" s="1" a="1"/>
  <c r="G35" i="2"/>
  <c r="H35" i="2" s="1" a="1"/>
  <c r="G206" i="2"/>
  <c r="H206" i="2" s="1" a="1"/>
  <c r="G12" i="2"/>
  <c r="H12" i="2" s="1" a="1"/>
  <c r="G24" i="2"/>
  <c r="H24" i="2" s="1" a="1"/>
  <c r="G38" i="2"/>
  <c r="H38" i="2" s="1" a="1"/>
  <c r="G123" i="2"/>
  <c r="H123" i="2" s="1" a="1"/>
  <c r="G167" i="2"/>
  <c r="H167" i="2" s="1" a="1"/>
  <c r="G153" i="2"/>
  <c r="H153" i="2" s="1" a="1"/>
  <c r="G86" i="2"/>
  <c r="H86" i="2" s="1" a="1"/>
  <c r="G101" i="2"/>
  <c r="H101" i="2" s="1" a="1"/>
  <c r="G156" i="2"/>
  <c r="H156" i="2" s="1" a="1"/>
  <c r="G103" i="2"/>
  <c r="H103" i="2" s="1" a="1"/>
  <c r="G80" i="2"/>
  <c r="H80" i="2" s="1" a="1"/>
  <c r="G88" i="2"/>
  <c r="H88" i="2" s="1" a="1"/>
  <c r="G138" i="2"/>
  <c r="H138" i="2" s="1" a="1"/>
  <c r="G169" i="2"/>
  <c r="H169" i="2" s="1" a="1"/>
  <c r="G135" i="2"/>
  <c r="H135" i="2" s="1" a="1"/>
  <c r="G188" i="2"/>
  <c r="H188" i="2" s="1" a="1"/>
  <c r="G248" i="2"/>
  <c r="H248" i="2" s="1" a="1"/>
  <c r="G39" i="2"/>
  <c r="H39" i="2" s="1" a="1"/>
  <c r="G241" i="2"/>
  <c r="H241" i="2" s="1" a="1"/>
  <c r="G200" i="2"/>
  <c r="H200" i="2" s="1" a="1"/>
  <c r="G119" i="2"/>
  <c r="H119" i="2" s="1" a="1"/>
  <c r="G42" i="2"/>
  <c r="H42" i="2" s="1" a="1"/>
  <c r="G247" i="2"/>
  <c r="H247" i="2" s="1" a="1"/>
  <c r="G93" i="2"/>
  <c r="H93" i="2" s="1" a="1"/>
  <c r="G17" i="2"/>
  <c r="H17" i="2" s="1" a="1"/>
  <c r="G170" i="2"/>
  <c r="H170" i="2" s="1" a="1"/>
  <c r="G191" i="2"/>
  <c r="H191" i="2" s="1" a="1"/>
  <c r="G140" i="2"/>
  <c r="H140" i="2" s="1" a="1"/>
  <c r="G201" i="2"/>
  <c r="H201" i="2" s="1" a="1"/>
  <c r="G207" i="2"/>
  <c r="H207" i="2" s="1" a="1"/>
  <c r="G28" i="2"/>
  <c r="H28" i="2" s="1" a="1"/>
  <c r="G55" i="2"/>
  <c r="H55" i="2" s="1" a="1"/>
  <c r="G159" i="2"/>
  <c r="H159" i="2" s="1" a="1"/>
  <c r="G91" i="2"/>
  <c r="H91" i="2" s="1" a="1"/>
  <c r="G210" i="2"/>
  <c r="H210" i="2" s="1" a="1"/>
  <c r="G216" i="2"/>
  <c r="H216" i="2" s="1" a="1"/>
  <c r="G58" i="2"/>
  <c r="H58" i="2" s="1" a="1"/>
  <c r="G239" i="2"/>
  <c r="H239" i="2" s="1" a="1"/>
  <c r="G172" i="2"/>
  <c r="H172" i="2" s="1" a="1"/>
  <c r="G144" i="2"/>
  <c r="H144" i="2" s="1" a="1"/>
  <c r="G232" i="2"/>
  <c r="H232" i="2" s="1" a="1"/>
  <c r="G59" i="2"/>
  <c r="H59" i="2" s="1" a="1"/>
  <c r="G145" i="2"/>
  <c r="H145" i="2" s="1" a="1"/>
  <c r="G109" i="2"/>
  <c r="H109" i="2" s="1" a="1"/>
  <c r="G243" i="2"/>
  <c r="H243" i="2" s="1" a="1"/>
  <c r="G149" i="2"/>
  <c r="H149" i="2" s="1" a="1"/>
  <c r="G133" i="2"/>
  <c r="H133" i="2" s="1" a="1"/>
  <c r="G178" i="2"/>
  <c r="H178" i="2" s="1" a="1"/>
  <c r="G84" i="2"/>
  <c r="H84" i="2" s="1" a="1"/>
  <c r="G41" i="2"/>
  <c r="H41" i="2" s="1" a="1"/>
  <c r="G8" i="2"/>
  <c r="H8" i="2" s="1" a="1"/>
  <c r="G37" i="2"/>
  <c r="H37" i="2" s="1" a="1"/>
  <c r="G87" i="2"/>
  <c r="H87" i="2" s="1" a="1"/>
  <c r="G186" i="2"/>
  <c r="H186" i="2" s="1" a="1"/>
  <c r="G46" i="2"/>
  <c r="H46" i="2" s="1" a="1"/>
  <c r="G175" i="2"/>
  <c r="H175" i="2" s="1" a="1"/>
  <c r="G198" i="2"/>
  <c r="H198" i="2" s="1" a="1"/>
  <c r="G114" i="2"/>
  <c r="H114" i="2" s="1" a="1"/>
  <c r="G64" i="2"/>
  <c r="H64" i="2" s="1" a="1"/>
  <c r="G100" i="2"/>
  <c r="H100" i="2" s="1" a="1"/>
  <c r="G219" i="2"/>
  <c r="H219" i="2" s="1" a="1"/>
  <c r="G202" i="2"/>
  <c r="H202" i="2" s="1" a="1"/>
  <c r="G150" i="2"/>
  <c r="H150" i="2" s="1" a="1"/>
  <c r="G25" i="2"/>
  <c r="H25" i="2" s="1" a="1"/>
  <c r="G131" i="2"/>
  <c r="H131" i="2" s="1" a="1"/>
  <c r="G211" i="2"/>
  <c r="H211" i="2" s="1" a="1"/>
  <c r="G212" i="2"/>
  <c r="H212" i="2" s="1" a="1"/>
  <c r="G213" i="2"/>
  <c r="H213" i="2" s="1" a="1"/>
  <c r="G13" i="2"/>
  <c r="H13" i="2" s="1" a="1"/>
  <c r="G124" i="2"/>
  <c r="H124" i="2" s="1" a="1"/>
  <c r="G192" i="2"/>
  <c r="H192" i="2" s="1" a="1"/>
  <c r="G127" i="2"/>
  <c r="H127" i="2" s="1" a="1"/>
  <c r="G155" i="2"/>
  <c r="H155" i="2" s="1" a="1"/>
  <c r="G157" i="2"/>
  <c r="H157" i="2" s="1" a="1"/>
  <c r="G199" i="2"/>
  <c r="H199" i="2" s="1" a="1"/>
  <c r="G95" i="2"/>
  <c r="H95" i="2" s="1" a="1"/>
  <c r="G128" i="2"/>
  <c r="H128" i="2" s="1" a="1"/>
  <c r="G227" i="2"/>
  <c r="H227" i="2" s="1" a="1"/>
  <c r="G237" i="2"/>
  <c r="H237" i="2" s="1" a="1"/>
  <c r="G115" i="2"/>
  <c r="H115" i="2" s="1" a="1"/>
  <c r="G228" i="2"/>
  <c r="H228" i="2" s="1" a="1"/>
  <c r="G146" i="2"/>
  <c r="H146" i="2" s="1" a="1"/>
  <c r="G105" i="2"/>
  <c r="H105" i="2" s="1" a="1"/>
  <c r="G183" i="2"/>
  <c r="H183" i="2" s="1" a="1"/>
  <c r="G164" i="2"/>
  <c r="H164" i="2" s="1" a="1"/>
  <c r="G50" i="2"/>
  <c r="H50" i="2" s="1" a="1"/>
  <c r="G130" i="2"/>
  <c r="H130" i="2" s="1" a="1"/>
  <c r="G122" i="2"/>
  <c r="H122" i="2" s="1" a="1"/>
  <c r="G76" i="2"/>
  <c r="H76" i="2" s="1" a="1"/>
  <c r="G208" i="2"/>
  <c r="H208" i="2" s="1" a="1"/>
  <c r="G217" i="2"/>
  <c r="H217" i="2" s="1" a="1"/>
  <c r="G96" i="2"/>
  <c r="H96" i="2" s="1" a="1"/>
  <c r="G181" i="2"/>
  <c r="H181" i="2" s="1" a="1"/>
  <c r="G246" i="2"/>
  <c r="H246" i="2" s="1" a="1"/>
  <c r="G168" i="2"/>
  <c r="H168" i="2" s="1" a="1"/>
  <c r="G71" i="2"/>
  <c r="H71" i="2" s="1" a="1"/>
  <c r="G238" i="2"/>
  <c r="H238" i="2" s="1" a="1"/>
  <c r="G65" i="2"/>
  <c r="H65" i="2" s="1" a="1"/>
  <c r="G214" i="2"/>
  <c r="H214" i="2" s="1" a="1"/>
  <c r="G193" i="2"/>
  <c r="H193" i="2" s="1" a="1"/>
  <c r="G70" i="2"/>
  <c r="H70" i="2" s="1" a="1"/>
  <c r="G89" i="2"/>
  <c r="H89" i="2" s="1" a="1"/>
  <c r="G60" i="2"/>
  <c r="H60" i="2" s="1" a="1"/>
  <c r="G77" i="2"/>
  <c r="H77" i="2" s="1" a="1"/>
  <c r="G43" i="2"/>
  <c r="H43" i="2" s="1" a="1"/>
  <c r="G120" i="2"/>
  <c r="H120" i="2" s="1" a="1"/>
  <c r="G16" i="2"/>
  <c r="H16" i="2" s="1" a="1"/>
  <c r="G132" i="2"/>
  <c r="H132" i="2" s="1" a="1"/>
  <c r="G22" i="2"/>
  <c r="H22" i="2" s="1" a="1"/>
  <c r="G44" i="2"/>
  <c r="H44" i="2" s="1" a="1"/>
  <c r="G94" i="2"/>
  <c r="H94" i="2" s="1" a="1"/>
  <c r="G223" i="2"/>
  <c r="H223" i="2" s="1" a="1"/>
  <c r="G111" i="2"/>
  <c r="H111" i="2" s="1" a="1"/>
  <c r="G143" i="2"/>
  <c r="H143" i="2" s="1" a="1"/>
  <c r="G160" i="2"/>
  <c r="H160" i="2" s="1" a="1"/>
  <c r="G33" i="2"/>
  <c r="H33" i="2" s="1" a="1"/>
  <c r="G190" i="2"/>
  <c r="H190" i="2" s="1" a="1"/>
  <c r="G230" i="2"/>
  <c r="H230" i="2" s="1" a="1"/>
  <c r="G116" i="2"/>
  <c r="H116" i="2" s="1" a="1"/>
  <c r="G73" i="2"/>
  <c r="H73" i="2" s="1" a="1"/>
  <c r="G90" i="2"/>
  <c r="H90" i="2" s="1" a="1"/>
  <c r="G233" i="2"/>
  <c r="H233" i="2" s="1" a="1"/>
  <c r="G249" i="2"/>
  <c r="H249" i="2" s="1" a="1"/>
  <c r="G51" i="2"/>
  <c r="H51" i="2" s="1" a="1"/>
  <c r="G31" i="2"/>
  <c r="H31" i="2" s="1" a="1"/>
  <c r="G56" i="2"/>
  <c r="H56" i="2" s="1" a="1"/>
  <c r="G30" i="2"/>
  <c r="H30" i="2" s="1" a="1"/>
  <c r="G234" i="2"/>
  <c r="H234" i="2" s="1" a="1"/>
  <c r="G166" i="2"/>
  <c r="H166" i="2" s="1" a="1"/>
  <c r="G176" i="2"/>
  <c r="H176" i="2" s="1" a="1"/>
  <c r="G236" i="2"/>
  <c r="H236" i="2" s="1" a="1"/>
  <c r="G204" i="2"/>
  <c r="H204" i="2" s="1" a="1"/>
  <c r="G47" i="2"/>
  <c r="H47" i="2" s="1" a="1"/>
  <c r="G173" i="2"/>
  <c r="H173" i="2" s="1" a="1"/>
  <c r="G250" i="2"/>
  <c r="H250" i="2" s="1" a="1"/>
  <c r="G15" i="2"/>
  <c r="H15" i="2" s="1" a="1"/>
  <c r="G99" i="2"/>
  <c r="H99" i="2" s="1" a="1"/>
  <c r="G136" i="2"/>
  <c r="H136" i="2" s="1" a="1"/>
  <c r="G72" i="2"/>
  <c r="H72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<sst xmlns="http://schemas.openxmlformats.org/spreadsheetml/2006/main" count="2282" uniqueCount="464">
  <si>
    <t>Employee_ID</t>
  </si>
  <si>
    <t>Employee_Name</t>
  </si>
  <si>
    <t>Department</t>
  </si>
  <si>
    <t>Review_Date</t>
  </si>
  <si>
    <t>Monthly_Target</t>
  </si>
  <si>
    <t>Sales_Achieved</t>
  </si>
  <si>
    <t>Performance_Rating</t>
  </si>
  <si>
    <t>EMP1000</t>
  </si>
  <si>
    <t>Chioma</t>
  </si>
  <si>
    <t>Sales</t>
  </si>
  <si>
    <t>2024-04-24</t>
  </si>
  <si>
    <t>Good</t>
  </si>
  <si>
    <t>EMP1001</t>
  </si>
  <si>
    <t>Operations</t>
  </si>
  <si>
    <t>2024-08-04</t>
  </si>
  <si>
    <t>Excellent</t>
  </si>
  <si>
    <t>EMP1002</t>
  </si>
  <si>
    <t>Ade</t>
  </si>
  <si>
    <t>2024-09-15</t>
  </si>
  <si>
    <t>EMP1003</t>
  </si>
  <si>
    <t>Fatima</t>
  </si>
  <si>
    <t>2024-08-17</t>
  </si>
  <si>
    <t>Average</t>
  </si>
  <si>
    <t>EMP1004</t>
  </si>
  <si>
    <t>HR</t>
  </si>
  <si>
    <t>2024-06-23</t>
  </si>
  <si>
    <t>EMP1005</t>
  </si>
  <si>
    <t>Emeka</t>
  </si>
  <si>
    <t>2024-02-17</t>
  </si>
  <si>
    <t>Poor</t>
  </si>
  <si>
    <t>EMP1006</t>
  </si>
  <si>
    <t>Finance</t>
  </si>
  <si>
    <t>2024-05-15</t>
  </si>
  <si>
    <t>EMP1007</t>
  </si>
  <si>
    <t>Sandra</t>
  </si>
  <si>
    <t>2024-02-10</t>
  </si>
  <si>
    <t>EMP1008</t>
  </si>
  <si>
    <t>Grace</t>
  </si>
  <si>
    <t>2024-02-05</t>
  </si>
  <si>
    <t>EMP1009</t>
  </si>
  <si>
    <t>2024-04-29</t>
  </si>
  <si>
    <t>EMP1010</t>
  </si>
  <si>
    <t>Ibrahim</t>
  </si>
  <si>
    <t>2024-07-05</t>
  </si>
  <si>
    <t>EMP1011</t>
  </si>
  <si>
    <t>2024-05-16</t>
  </si>
  <si>
    <t>EMP1012</t>
  </si>
  <si>
    <t>2024-08-24</t>
  </si>
  <si>
    <t>EMP1013</t>
  </si>
  <si>
    <t>Tunde</t>
  </si>
  <si>
    <t>2024-06-15</t>
  </si>
  <si>
    <t>EMP1014</t>
  </si>
  <si>
    <t>2024-05-17</t>
  </si>
  <si>
    <t>EMP1015</t>
  </si>
  <si>
    <t>2024-12-01</t>
  </si>
  <si>
    <t>EMP1016</t>
  </si>
  <si>
    <t>IT</t>
  </si>
  <si>
    <t>2024-03-12</t>
  </si>
  <si>
    <t>EMP1017</t>
  </si>
  <si>
    <t>2024-10-25</t>
  </si>
  <si>
    <t>EMP1018</t>
  </si>
  <si>
    <t>2024-09-09</t>
  </si>
  <si>
    <t>EMP1019</t>
  </si>
  <si>
    <t>2024-03-22</t>
  </si>
  <si>
    <t>EMP1020</t>
  </si>
  <si>
    <t>2024-08-27</t>
  </si>
  <si>
    <t>EMP1021</t>
  </si>
  <si>
    <t>2024-10-01</t>
  </si>
  <si>
    <t>EMP1022</t>
  </si>
  <si>
    <t>2024-03-21</t>
  </si>
  <si>
    <t>EMP1023</t>
  </si>
  <si>
    <t>2024-04-01</t>
  </si>
  <si>
    <t>EMP1024</t>
  </si>
  <si>
    <t>2024-03-19</t>
  </si>
  <si>
    <t>EMP1025</t>
  </si>
  <si>
    <t>2024-11-02</t>
  </si>
  <si>
    <t>EMP1026</t>
  </si>
  <si>
    <t>2024-06-06</t>
  </si>
  <si>
    <t>EMP1027</t>
  </si>
  <si>
    <t>2024-02-13</t>
  </si>
  <si>
    <t>EMP1028</t>
  </si>
  <si>
    <t>2024-12-03</t>
  </si>
  <si>
    <t>EMP1029</t>
  </si>
  <si>
    <t>2024-11-06</t>
  </si>
  <si>
    <t>EMP1030</t>
  </si>
  <si>
    <t>2024-12-31</t>
  </si>
  <si>
    <t>EMP1031</t>
  </si>
  <si>
    <t>2024-09-21</t>
  </si>
  <si>
    <t>EMP1032</t>
  </si>
  <si>
    <t>2024-06-22</t>
  </si>
  <si>
    <t>EMP1033</t>
  </si>
  <si>
    <t>2024-02-06</t>
  </si>
  <si>
    <t>EMP1034</t>
  </si>
  <si>
    <t>2024-06-18</t>
  </si>
  <si>
    <t>EMP1035</t>
  </si>
  <si>
    <t>2024-04-19</t>
  </si>
  <si>
    <t>EMP1036</t>
  </si>
  <si>
    <t>2024-07-27</t>
  </si>
  <si>
    <t>EMP1037</t>
  </si>
  <si>
    <t>2024-06-30</t>
  </si>
  <si>
    <t>EMP1038</t>
  </si>
  <si>
    <t>2024-11-30</t>
  </si>
  <si>
    <t>EMP1039</t>
  </si>
  <si>
    <t>2024-02-25</t>
  </si>
  <si>
    <t>EMP1040</t>
  </si>
  <si>
    <t>EMP1041</t>
  </si>
  <si>
    <t>2024-02-08</t>
  </si>
  <si>
    <t>EMP1042</t>
  </si>
  <si>
    <t>2024-01-08</t>
  </si>
  <si>
    <t>EMP1043</t>
  </si>
  <si>
    <t>2024-09-03</t>
  </si>
  <si>
    <t>EMP1044</t>
  </si>
  <si>
    <t>2024-01-02</t>
  </si>
  <si>
    <t>EMP1045</t>
  </si>
  <si>
    <t>2024-12-22</t>
  </si>
  <si>
    <t>EMP1046</t>
  </si>
  <si>
    <t>2024-01-30</t>
  </si>
  <si>
    <t>EMP1047</t>
  </si>
  <si>
    <t>2024-09-01</t>
  </si>
  <si>
    <t>EMP1048</t>
  </si>
  <si>
    <t>2024-04-05</t>
  </si>
  <si>
    <t>EMP1049</t>
  </si>
  <si>
    <t>2024-10-18</t>
  </si>
  <si>
    <t>EMP1050</t>
  </si>
  <si>
    <t>2024-12-02</t>
  </si>
  <si>
    <t>EMP1051</t>
  </si>
  <si>
    <t>2024-06-09</t>
  </si>
  <si>
    <t>EMP1052</t>
  </si>
  <si>
    <t>2024-11-26</t>
  </si>
  <si>
    <t>EMP1053</t>
  </si>
  <si>
    <t>2024-08-22</t>
  </si>
  <si>
    <t>EMP1054</t>
  </si>
  <si>
    <t>EMP1055</t>
  </si>
  <si>
    <t>2024-05-25</t>
  </si>
  <si>
    <t>EMP1056</t>
  </si>
  <si>
    <t>2024-11-09</t>
  </si>
  <si>
    <t>EMP1057</t>
  </si>
  <si>
    <t>2024-02-29</t>
  </si>
  <si>
    <t>EMP1058</t>
  </si>
  <si>
    <t>2024-04-17</t>
  </si>
  <si>
    <t>EMP1059</t>
  </si>
  <si>
    <t>2024-05-08</t>
  </si>
  <si>
    <t>EMP1060</t>
  </si>
  <si>
    <t>EMP1061</t>
  </si>
  <si>
    <t>2024-08-14</t>
  </si>
  <si>
    <t>EMP1062</t>
  </si>
  <si>
    <t>2024-12-19</t>
  </si>
  <si>
    <t>EMP1063</t>
  </si>
  <si>
    <t>2024-03-16</t>
  </si>
  <si>
    <t>EMP1064</t>
  </si>
  <si>
    <t>2024-01-21</t>
  </si>
  <si>
    <t>EMP1065</t>
  </si>
  <si>
    <t>EMP1066</t>
  </si>
  <si>
    <t>2024-03-31</t>
  </si>
  <si>
    <t>EMP1067</t>
  </si>
  <si>
    <t>2024-07-29</t>
  </si>
  <si>
    <t>EMP1068</t>
  </si>
  <si>
    <t>2024-07-14</t>
  </si>
  <si>
    <t>EMP1069</t>
  </si>
  <si>
    <t>2024-08-23</t>
  </si>
  <si>
    <t>EMP1070</t>
  </si>
  <si>
    <t>EMP1071</t>
  </si>
  <si>
    <t>EMP1072</t>
  </si>
  <si>
    <t>EMP1073</t>
  </si>
  <si>
    <t>2024-10-24</t>
  </si>
  <si>
    <t>EMP1074</t>
  </si>
  <si>
    <t>2024-06-25</t>
  </si>
  <si>
    <t>EMP1075</t>
  </si>
  <si>
    <t>2024-07-16</t>
  </si>
  <si>
    <t>EMP1076</t>
  </si>
  <si>
    <t>2024-01-01</t>
  </si>
  <si>
    <t>EMP1077</t>
  </si>
  <si>
    <t>EMP1078</t>
  </si>
  <si>
    <t>2024-12-07</t>
  </si>
  <si>
    <t>EMP1079</t>
  </si>
  <si>
    <t>2024-10-10</t>
  </si>
  <si>
    <t>EMP1080</t>
  </si>
  <si>
    <t>2024-12-12</t>
  </si>
  <si>
    <t>EMP1081</t>
  </si>
  <si>
    <t>EMP1082</t>
  </si>
  <si>
    <t>2024-10-23</t>
  </si>
  <si>
    <t>EMP1083</t>
  </si>
  <si>
    <t>EMP1084</t>
  </si>
  <si>
    <t>2024-12-05</t>
  </si>
  <si>
    <t>EMP1085</t>
  </si>
  <si>
    <t>2024-04-25</t>
  </si>
  <si>
    <t>EMP1086</t>
  </si>
  <si>
    <t>2024-08-31</t>
  </si>
  <si>
    <t>EMP1087</t>
  </si>
  <si>
    <t>2024-04-09</t>
  </si>
  <si>
    <t>EMP1088</t>
  </si>
  <si>
    <t>EMP1089</t>
  </si>
  <si>
    <t>EMP1090</t>
  </si>
  <si>
    <t>2024-03-03</t>
  </si>
  <si>
    <t>EMP1091</t>
  </si>
  <si>
    <t>2024-10-13</t>
  </si>
  <si>
    <t>EMP1092</t>
  </si>
  <si>
    <t>2024-10-07</t>
  </si>
  <si>
    <t>EMP1093</t>
  </si>
  <si>
    <t>2024-05-06</t>
  </si>
  <si>
    <t>EMP1094</t>
  </si>
  <si>
    <t>2024-02-09</t>
  </si>
  <si>
    <t>EMP1095</t>
  </si>
  <si>
    <t>2024-10-03</t>
  </si>
  <si>
    <t>EMP1096</t>
  </si>
  <si>
    <t>2024-12-21</t>
  </si>
  <si>
    <t>EMP1097</t>
  </si>
  <si>
    <t>EMP1098</t>
  </si>
  <si>
    <t>2024-08-03</t>
  </si>
  <si>
    <t>EMP1099</t>
  </si>
  <si>
    <t>2024-01-04</t>
  </si>
  <si>
    <t>EMP1100</t>
  </si>
  <si>
    <t>2024-10-06</t>
  </si>
  <si>
    <t>EMP1101</t>
  </si>
  <si>
    <t>2024-09-05</t>
  </si>
  <si>
    <t>EMP1102</t>
  </si>
  <si>
    <t>2024-07-26</t>
  </si>
  <si>
    <t>EMP1103</t>
  </si>
  <si>
    <t>2024-01-14</t>
  </si>
  <si>
    <t>EMP1104</t>
  </si>
  <si>
    <t>2024-03-10</t>
  </si>
  <si>
    <t>EMP1105</t>
  </si>
  <si>
    <t>2024-06-16</t>
  </si>
  <si>
    <t>EMP1106</t>
  </si>
  <si>
    <t>2024-07-13</t>
  </si>
  <si>
    <t>EMP1107</t>
  </si>
  <si>
    <t>2024-01-10</t>
  </si>
  <si>
    <t>EMP1108</t>
  </si>
  <si>
    <t>2024-11-29</t>
  </si>
  <si>
    <t>EMP1109</t>
  </si>
  <si>
    <t>2024-01-11</t>
  </si>
  <si>
    <t>EMP1110</t>
  </si>
  <si>
    <t>2024-02-28</t>
  </si>
  <si>
    <t>EMP1111</t>
  </si>
  <si>
    <t>EMP1112</t>
  </si>
  <si>
    <t>EMP1113</t>
  </si>
  <si>
    <t>EMP1114</t>
  </si>
  <si>
    <t>2024-03-02</t>
  </si>
  <si>
    <t>EMP1115</t>
  </si>
  <si>
    <t>2024-07-08</t>
  </si>
  <si>
    <t>EMP1116</t>
  </si>
  <si>
    <t>2024-09-07</t>
  </si>
  <si>
    <t>EMP1117</t>
  </si>
  <si>
    <t>EMP1118</t>
  </si>
  <si>
    <t>2024-05-18</t>
  </si>
  <si>
    <t>EMP1119</t>
  </si>
  <si>
    <t>2024-06-14</t>
  </si>
  <si>
    <t>EMP1120</t>
  </si>
  <si>
    <t>2024-08-25</t>
  </si>
  <si>
    <t>EMP1121</t>
  </si>
  <si>
    <t>EMP1122</t>
  </si>
  <si>
    <t>2024-05-12</t>
  </si>
  <si>
    <t>EMP1123</t>
  </si>
  <si>
    <t>2024-05-21</t>
  </si>
  <si>
    <t>EMP1124</t>
  </si>
  <si>
    <t>EMP1125</t>
  </si>
  <si>
    <t>2024-09-08</t>
  </si>
  <si>
    <t>EMP1126</t>
  </si>
  <si>
    <t>EMP1127</t>
  </si>
  <si>
    <t>EMP1128</t>
  </si>
  <si>
    <t>2024-12-25</t>
  </si>
  <si>
    <t>EMP1129</t>
  </si>
  <si>
    <t>EMP1130</t>
  </si>
  <si>
    <t>EMP1131</t>
  </si>
  <si>
    <t>2024-10-28</t>
  </si>
  <si>
    <t>EMP1132</t>
  </si>
  <si>
    <t>2024-07-03</t>
  </si>
  <si>
    <t>EMP1133</t>
  </si>
  <si>
    <t>2024-03-05</t>
  </si>
  <si>
    <t>EMP1134</t>
  </si>
  <si>
    <t>2024-12-23</t>
  </si>
  <si>
    <t>EMP1135</t>
  </si>
  <si>
    <t>EMP1136</t>
  </si>
  <si>
    <t>2024-01-27</t>
  </si>
  <si>
    <t>EMP1137</t>
  </si>
  <si>
    <t>EMP1138</t>
  </si>
  <si>
    <t>2024-10-15</t>
  </si>
  <si>
    <t>EMP1139</t>
  </si>
  <si>
    <t>2024-08-01</t>
  </si>
  <si>
    <t>EMP1140</t>
  </si>
  <si>
    <t>EMP1141</t>
  </si>
  <si>
    <t>2024-11-08</t>
  </si>
  <si>
    <t>EMP1142</t>
  </si>
  <si>
    <t>2024-02-11</t>
  </si>
  <si>
    <t>EMP1143</t>
  </si>
  <si>
    <t>EMP1144</t>
  </si>
  <si>
    <t>2024-08-28</t>
  </si>
  <si>
    <t>EMP1145</t>
  </si>
  <si>
    <t>2024-05-24</t>
  </si>
  <si>
    <t>EMP1146</t>
  </si>
  <si>
    <t>2024-11-16</t>
  </si>
  <si>
    <t>EMP1147</t>
  </si>
  <si>
    <t>2024-11-27</t>
  </si>
  <si>
    <t>EMP1148</t>
  </si>
  <si>
    <t>2024-03-25</t>
  </si>
  <si>
    <t>EMP1149</t>
  </si>
  <si>
    <t>2024-12-18</t>
  </si>
  <si>
    <t>EMP1150</t>
  </si>
  <si>
    <t>EMP1151</t>
  </si>
  <si>
    <t>2024-08-09</t>
  </si>
  <si>
    <t>EMP1152</t>
  </si>
  <si>
    <t>2024-12-11</t>
  </si>
  <si>
    <t>EMP1153</t>
  </si>
  <si>
    <t>2024-03-30</t>
  </si>
  <si>
    <t>EMP1154</t>
  </si>
  <si>
    <t>2024-08-11</t>
  </si>
  <si>
    <t>EMP1155</t>
  </si>
  <si>
    <t>2024-06-19</t>
  </si>
  <si>
    <t>EMP1156</t>
  </si>
  <si>
    <t>EMP1157</t>
  </si>
  <si>
    <t>2024-08-20</t>
  </si>
  <si>
    <t>EMP1158</t>
  </si>
  <si>
    <t>2024-07-25</t>
  </si>
  <si>
    <t>EMP1159</t>
  </si>
  <si>
    <t>2024-09-22</t>
  </si>
  <si>
    <t>EMP1160</t>
  </si>
  <si>
    <t>EMP1161</t>
  </si>
  <si>
    <t>EMP1162</t>
  </si>
  <si>
    <t>EMP1163</t>
  </si>
  <si>
    <t>2024-03-01</t>
  </si>
  <si>
    <t>EMP1164</t>
  </si>
  <si>
    <t>2024-05-19</t>
  </si>
  <si>
    <t>EMP1165</t>
  </si>
  <si>
    <t>2024-10-09</t>
  </si>
  <si>
    <t>EMP1166</t>
  </si>
  <si>
    <t>EMP1167</t>
  </si>
  <si>
    <t>2024-09-16</t>
  </si>
  <si>
    <t>EMP1168</t>
  </si>
  <si>
    <t>2024-10-27</t>
  </si>
  <si>
    <t>EMP1169</t>
  </si>
  <si>
    <t>EMP1170</t>
  </si>
  <si>
    <t>2024-04-06</t>
  </si>
  <si>
    <t>EMP1171</t>
  </si>
  <si>
    <t>2024-06-11</t>
  </si>
  <si>
    <t>EMP1172</t>
  </si>
  <si>
    <t>EMP1173</t>
  </si>
  <si>
    <t>2024-10-29</t>
  </si>
  <si>
    <t>EMP1174</t>
  </si>
  <si>
    <t>2024-08-21</t>
  </si>
  <si>
    <t>EMP1175</t>
  </si>
  <si>
    <t>EMP1176</t>
  </si>
  <si>
    <t>2024-07-22</t>
  </si>
  <si>
    <t>EMP1177</t>
  </si>
  <si>
    <t>EMP1178</t>
  </si>
  <si>
    <t>2024-11-19</t>
  </si>
  <si>
    <t>EMP1179</t>
  </si>
  <si>
    <t>2024-11-20</t>
  </si>
  <si>
    <t>EMP1180</t>
  </si>
  <si>
    <t>2024-01-15</t>
  </si>
  <si>
    <t>EMP1181</t>
  </si>
  <si>
    <t>2024-07-10</t>
  </si>
  <si>
    <t>EMP1182</t>
  </si>
  <si>
    <t>2024-10-16</t>
  </si>
  <si>
    <t>EMP1183</t>
  </si>
  <si>
    <t>EMP1184</t>
  </si>
  <si>
    <t>EMP1185</t>
  </si>
  <si>
    <t>2024-08-26</t>
  </si>
  <si>
    <t>EMP1186</t>
  </si>
  <si>
    <t>EMP1187</t>
  </si>
  <si>
    <t>2024-06-03</t>
  </si>
  <si>
    <t>EMP1188</t>
  </si>
  <si>
    <t>EMP1189</t>
  </si>
  <si>
    <t>EMP1190</t>
  </si>
  <si>
    <t>2024-12-17</t>
  </si>
  <si>
    <t>EMP1191</t>
  </si>
  <si>
    <t>2024-06-29</t>
  </si>
  <si>
    <t>EMP1192</t>
  </si>
  <si>
    <t>EMP1193</t>
  </si>
  <si>
    <t>2024-08-13</t>
  </si>
  <si>
    <t>EMP1194</t>
  </si>
  <si>
    <t>EMP1195</t>
  </si>
  <si>
    <t>EMP1196</t>
  </si>
  <si>
    <t>EMP1197</t>
  </si>
  <si>
    <t>2024-03-13</t>
  </si>
  <si>
    <t>EMP1198</t>
  </si>
  <si>
    <t>2024-07-21</t>
  </si>
  <si>
    <t>EMP1199</t>
  </si>
  <si>
    <t>2024-07-07</t>
  </si>
  <si>
    <t>EMP1200</t>
  </si>
  <si>
    <t>EMP1201</t>
  </si>
  <si>
    <t>EMP1202</t>
  </si>
  <si>
    <t>2024-11-28</t>
  </si>
  <si>
    <t>EMP1203</t>
  </si>
  <si>
    <t>2024-06-04</t>
  </si>
  <si>
    <t>EMP1204</t>
  </si>
  <si>
    <t>2024-10-02</t>
  </si>
  <si>
    <t>EMP1205</t>
  </si>
  <si>
    <t>EMP1206</t>
  </si>
  <si>
    <t>EMP1207</t>
  </si>
  <si>
    <t>2024-04-21</t>
  </si>
  <si>
    <t>EMP1208</t>
  </si>
  <si>
    <t>EMP1209</t>
  </si>
  <si>
    <t>2024-04-07</t>
  </si>
  <si>
    <t>EMP1210</t>
  </si>
  <si>
    <t>2024-11-24</t>
  </si>
  <si>
    <t>EMP1211</t>
  </si>
  <si>
    <t>EMP1212</t>
  </si>
  <si>
    <t>2024-04-20</t>
  </si>
  <si>
    <t>EMP1213</t>
  </si>
  <si>
    <t>EMP1214</t>
  </si>
  <si>
    <t>EMP1215</t>
  </si>
  <si>
    <t>2024-05-01</t>
  </si>
  <si>
    <t>EMP1216</t>
  </si>
  <si>
    <t>EMP1217</t>
  </si>
  <si>
    <t>2024-07-04</t>
  </si>
  <si>
    <t>EMP1218</t>
  </si>
  <si>
    <t>2024-01-23</t>
  </si>
  <si>
    <t>EMP1219</t>
  </si>
  <si>
    <t>2024-07-24</t>
  </si>
  <si>
    <t>EMP1220</t>
  </si>
  <si>
    <t>2024-02-07</t>
  </si>
  <si>
    <t>EMP1221</t>
  </si>
  <si>
    <t>EMP1222</t>
  </si>
  <si>
    <t>2024-05-30</t>
  </si>
  <si>
    <t>EMP1223</t>
  </si>
  <si>
    <t>EMP1224</t>
  </si>
  <si>
    <t>EMP1225</t>
  </si>
  <si>
    <t>2024-08-06</t>
  </si>
  <si>
    <t>EMP1226</t>
  </si>
  <si>
    <t>2024-08-30</t>
  </si>
  <si>
    <t>EMP1227</t>
  </si>
  <si>
    <t>2024-02-19</t>
  </si>
  <si>
    <t>EMP1228</t>
  </si>
  <si>
    <t>2024-10-14</t>
  </si>
  <si>
    <t>EMP1229</t>
  </si>
  <si>
    <t>2024-12-06</t>
  </si>
  <si>
    <t>EMP1230</t>
  </si>
  <si>
    <t>EMP1231</t>
  </si>
  <si>
    <t>EMP1232</t>
  </si>
  <si>
    <t>2024-05-22</t>
  </si>
  <si>
    <t>EMP1233</t>
  </si>
  <si>
    <t>EMP1234</t>
  </si>
  <si>
    <t>EMP1235</t>
  </si>
  <si>
    <t>2024-03-14</t>
  </si>
  <si>
    <t>EMP1236</t>
  </si>
  <si>
    <t>2024-02-16</t>
  </si>
  <si>
    <t>EMP1237</t>
  </si>
  <si>
    <t>EMP1238</t>
  </si>
  <si>
    <t>EMP1239</t>
  </si>
  <si>
    <t>EMP1240</t>
  </si>
  <si>
    <t>EMP1241</t>
  </si>
  <si>
    <t>2024-09-19</t>
  </si>
  <si>
    <t>EMP1242</t>
  </si>
  <si>
    <t>2024-12-13</t>
  </si>
  <si>
    <t>EMP1243</t>
  </si>
  <si>
    <t>EMP1244</t>
  </si>
  <si>
    <t>2024-03-11</t>
  </si>
  <si>
    <t>EMP1245</t>
  </si>
  <si>
    <t>2024-09-11</t>
  </si>
  <si>
    <t>EMP1246</t>
  </si>
  <si>
    <t>2024-12-26</t>
  </si>
  <si>
    <t>EMP1247</t>
  </si>
  <si>
    <t>2024-01-22</t>
  </si>
  <si>
    <t>EMP1248</t>
  </si>
  <si>
    <t>EMP1249</t>
  </si>
  <si>
    <t>Departments</t>
  </si>
  <si>
    <t>Performance Rating</t>
  </si>
  <si>
    <t>Performance_Status</t>
  </si>
  <si>
    <t>Achievement_Status</t>
  </si>
  <si>
    <t xml:space="preserve">Target Achived </t>
  </si>
  <si>
    <t>Near Target</t>
  </si>
  <si>
    <t>Target Exceeded</t>
  </si>
  <si>
    <t>Below Target</t>
  </si>
  <si>
    <t>Updated_Performance_Rating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</si>
</sst>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64" fontId="4" fillId="0" borderId="0" xfId="1" applyNumberFormat="1" applyFont="1"/>
    <xf numFmtId="9" fontId="0" fillId="0" borderId="0" xfId="2" applyFont="1"/>
    <xf numFmtId="0" fontId="6" fillId="0" borderId="1" xfId="0" applyFont="1" applyBorder="1" applyAlignment="1">
      <alignment horizontal="center" vertical="top"/>
    </xf>
    <xf numFmtId="0" fontId="1" fillId="0" borderId="0" xfId="0" applyFont="1"/>
    <xf numFmtId="14" fontId="3" fillId="0" borderId="1" xfId="0" applyNumberFormat="1" applyFont="1" applyBorder="1" applyAlignment="1">
      <alignment horizontal="center" vertical="top"/>
    </xf>
    <xf numFmtId="14" fontId="4" fillId="0" borderId="0" xfId="0" applyNumberFormat="1" applyFont="1"/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36"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A7100-5AA1-42BD-B3F9-6ACB95DDC82D}" name="Table1" displayName="Table1" ref="A1:I251" totalsRowShown="0">
  <autoFilter ref="A1:I251" xr:uid="{B95A7100-5AA1-42BD-B3F9-6ACB95DDC8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A2:I251">
    <sortCondition ref="D2:D251"/>
  </sortState>
  <tableColumns count="9">
    <tableColumn id="1" xr3:uid="{7D7AC7CF-8965-44DE-BEB6-D8B892F8595F}" name="Employee_ID" dataDxfId="35"/>
    <tableColumn id="2" xr3:uid="{2D182FD6-36BC-42B4-B780-25E09D111ADB}" name="Employee_Name" dataDxfId="34"/>
    <tableColumn id="3" xr3:uid="{B0D35431-93B2-4C85-8DD0-FD241F4957C9}" name="Department" dataDxfId="33"/>
    <tableColumn id="4" xr3:uid="{E658A91B-CA1D-4752-B997-3041DA0F1312}" name="Review_Date" dataDxfId="24"/>
    <tableColumn id="5" xr3:uid="{39E25C39-0040-4E32-A5E9-5427F94D59F2}" name="Monthly_Target" dataDxfId="32" dataCellStyle="Comma"/>
    <tableColumn id="6" xr3:uid="{AAC692CB-F1CE-42B6-A67E-68BD01534C4A}" name="Sales_Achieved" dataDxfId="31" dataCellStyle="Comma"/>
    <tableColumn id="7" xr3:uid="{A53CE7C4-462B-48FF-AEBE-389C4BBB0B3D}" name="Achievement_Status" dataDxfId="30" dataCellStyle="Percent">
      <calculatedColumnFormula>F2/E2</calculatedColumnFormula>
    </tableColumn>
    <tableColumn id="8" xr3:uid="{8FD1B058-808C-42AA-AA10-2875C042E040}" name="Updated_Performance_Rating" dataDxfId="29">
      <calculatedColumnFormula array="1">_xlfn.IFS(G2&gt;=106%,"Excellent", G2&gt;=100%,"Good", G2&gt;=80%,"Average", G2&lt;80%,"Poor")</calculatedColumnFormula>
    </tableColumn>
    <tableColumn id="9" xr3:uid="{5390E96A-2DDC-4ECD-A75C-7351901A1530}" name="Performance_Status">
      <calculatedColumnFormula array="1">_xlfn.IFS(H2="Poor","Below Target",  H2="Average","Near Target",  H2="Good","Target Achieved", H2="Excellent","Target Exceeded")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CA697F-291D-4A63-8F4F-9CA3190B30BA}" name="Table2" displayName="Table2" ref="K1:M6" totalsRowShown="0" dataDxfId="28">
  <autoFilter ref="K1:M6" xr:uid="{F7CA697F-291D-4A63-8F4F-9CA3190B30BA}">
    <filterColumn colId="0" hiddenButton="1"/>
    <filterColumn colId="1" hiddenButton="1"/>
    <filterColumn colId="2" hiddenButton="1"/>
  </autoFilter>
  <tableColumns count="3">
    <tableColumn id="1" xr3:uid="{10BE46ED-A42A-49D1-8683-A7CEF7A3B3F3}" name="Departments" dataDxfId="27"/>
    <tableColumn id="2" xr3:uid="{60671A75-4164-476B-B066-E3C2C2F1E7AC}" name="Performance Rating" dataDxfId="26"/>
    <tableColumn id="3" xr3:uid="{00604ECA-F50C-439B-B6D5-E6A5820E6FD0}" name="Performance_Status" dataDxfId="2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="114" workbookViewId="0">
      <pane ySplit="1" topLeftCell="A2" activePane="bottomLeft" state="frozen"/>
      <selection pane="bottomLeft" activeCell="C2" sqref="C2"/>
    </sheetView>
  </sheetViews>
  <sheetFormatPr defaultColWidth="14.44140625" defaultRowHeight="15" customHeight="1" x14ac:dyDescent="0.3"/>
  <cols>
    <col min="1" max="1" width="12.109375" bestFit="1" customWidth="1"/>
    <col min="2" max="2" width="15.44140625" bestFit="1" customWidth="1"/>
    <col min="3" max="3" width="11.109375" bestFit="1" customWidth="1"/>
    <col min="4" max="4" width="11.88671875" bestFit="1" customWidth="1"/>
    <col min="5" max="5" width="14.6640625" bestFit="1" customWidth="1"/>
    <col min="6" max="6" width="14.109375" bestFit="1" customWidth="1"/>
    <col min="7" max="7" width="18.44140625" bestFit="1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1076778</v>
      </c>
      <c r="F2" s="2">
        <v>813575</v>
      </c>
      <c r="G2" s="2" t="s">
        <v>11</v>
      </c>
    </row>
    <row r="3" spans="1:7" ht="14.4" x14ac:dyDescent="0.3">
      <c r="A3" s="2" t="s">
        <v>12</v>
      </c>
      <c r="B3" s="2" t="s">
        <v>8</v>
      </c>
      <c r="C3" s="2" t="s">
        <v>13</v>
      </c>
      <c r="D3" s="2" t="s">
        <v>14</v>
      </c>
      <c r="E3" s="2">
        <v>682323</v>
      </c>
      <c r="F3" s="2">
        <v>1538352</v>
      </c>
      <c r="G3" s="2" t="s">
        <v>15</v>
      </c>
    </row>
    <row r="4" spans="1:7" ht="14.4" x14ac:dyDescent="0.3">
      <c r="A4" s="2" t="s">
        <v>16</v>
      </c>
      <c r="B4" s="2" t="s">
        <v>17</v>
      </c>
      <c r="C4" s="2" t="s">
        <v>9</v>
      </c>
      <c r="D4" s="2" t="s">
        <v>18</v>
      </c>
      <c r="E4" s="2">
        <v>958517</v>
      </c>
      <c r="F4" s="2">
        <v>787925</v>
      </c>
      <c r="G4" s="2" t="s">
        <v>15</v>
      </c>
    </row>
    <row r="5" spans="1:7" ht="14.4" x14ac:dyDescent="0.3">
      <c r="A5" s="2" t="s">
        <v>19</v>
      </c>
      <c r="B5" s="2" t="s">
        <v>20</v>
      </c>
      <c r="C5" s="2" t="s">
        <v>13</v>
      </c>
      <c r="D5" s="2" t="s">
        <v>21</v>
      </c>
      <c r="E5" s="2">
        <v>1379796</v>
      </c>
      <c r="F5" s="2">
        <v>762297</v>
      </c>
      <c r="G5" s="2" t="s">
        <v>22</v>
      </c>
    </row>
    <row r="6" spans="1:7" ht="14.4" x14ac:dyDescent="0.3">
      <c r="A6" s="2" t="s">
        <v>23</v>
      </c>
      <c r="B6" s="2" t="s">
        <v>17</v>
      </c>
      <c r="C6" s="2" t="s">
        <v>24</v>
      </c>
      <c r="D6" s="2" t="s">
        <v>25</v>
      </c>
      <c r="E6" s="2">
        <v>1964104</v>
      </c>
      <c r="F6" s="2">
        <v>1186286</v>
      </c>
      <c r="G6" s="2" t="s">
        <v>22</v>
      </c>
    </row>
    <row r="7" spans="1:7" ht="14.4" x14ac:dyDescent="0.3">
      <c r="A7" s="2" t="s">
        <v>26</v>
      </c>
      <c r="B7" s="2" t="s">
        <v>27</v>
      </c>
      <c r="C7" s="2" t="s">
        <v>24</v>
      </c>
      <c r="D7" s="2" t="s">
        <v>28</v>
      </c>
      <c r="E7" s="2">
        <v>1205889</v>
      </c>
      <c r="F7" s="2">
        <v>514350</v>
      </c>
      <c r="G7" s="2" t="s">
        <v>29</v>
      </c>
    </row>
    <row r="8" spans="1:7" ht="14.4" x14ac:dyDescent="0.3">
      <c r="A8" s="2" t="s">
        <v>30</v>
      </c>
      <c r="B8" s="2" t="s">
        <v>8</v>
      </c>
      <c r="C8" s="2" t="s">
        <v>31</v>
      </c>
      <c r="D8" s="2" t="s">
        <v>32</v>
      </c>
      <c r="E8" s="2">
        <v>1221327</v>
      </c>
      <c r="F8" s="2">
        <v>1566105</v>
      </c>
      <c r="G8" s="2" t="s">
        <v>15</v>
      </c>
    </row>
    <row r="9" spans="1:7" ht="14.4" x14ac:dyDescent="0.3">
      <c r="A9" s="2" t="s">
        <v>33</v>
      </c>
      <c r="B9" s="2" t="s">
        <v>34</v>
      </c>
      <c r="C9" s="2" t="s">
        <v>13</v>
      </c>
      <c r="D9" s="2" t="s">
        <v>35</v>
      </c>
      <c r="E9" s="2">
        <v>761779</v>
      </c>
      <c r="F9" s="2">
        <v>1093844</v>
      </c>
      <c r="G9" s="2" t="s">
        <v>22</v>
      </c>
    </row>
    <row r="10" spans="1:7" ht="14.4" x14ac:dyDescent="0.3">
      <c r="A10" s="2" t="s">
        <v>36</v>
      </c>
      <c r="B10" s="2" t="s">
        <v>37</v>
      </c>
      <c r="C10" s="2" t="s">
        <v>13</v>
      </c>
      <c r="D10" s="2" t="s">
        <v>38</v>
      </c>
      <c r="E10" s="2">
        <v>903258</v>
      </c>
      <c r="F10" s="2">
        <v>1777594</v>
      </c>
      <c r="G10" s="2" t="s">
        <v>15</v>
      </c>
    </row>
    <row r="11" spans="1:7" ht="14.4" x14ac:dyDescent="0.3">
      <c r="A11" s="2" t="s">
        <v>39</v>
      </c>
      <c r="B11" s="2" t="s">
        <v>20</v>
      </c>
      <c r="C11" s="2" t="s">
        <v>31</v>
      </c>
      <c r="D11" s="2" t="s">
        <v>40</v>
      </c>
      <c r="E11" s="2">
        <v>667335</v>
      </c>
      <c r="F11" s="2">
        <v>2093731</v>
      </c>
      <c r="G11" s="2" t="s">
        <v>15</v>
      </c>
    </row>
    <row r="12" spans="1:7" ht="14.4" x14ac:dyDescent="0.3">
      <c r="A12" s="2" t="s">
        <v>41</v>
      </c>
      <c r="B12" s="2" t="s">
        <v>42</v>
      </c>
      <c r="C12" s="2" t="s">
        <v>31</v>
      </c>
      <c r="D12" s="2" t="s">
        <v>43</v>
      </c>
      <c r="E12" s="2">
        <v>1450870</v>
      </c>
      <c r="F12" s="2">
        <v>1633126</v>
      </c>
      <c r="G12" s="2" t="s">
        <v>11</v>
      </c>
    </row>
    <row r="13" spans="1:7" ht="14.4" x14ac:dyDescent="0.3">
      <c r="A13" s="2" t="s">
        <v>44</v>
      </c>
      <c r="B13" s="2" t="s">
        <v>37</v>
      </c>
      <c r="C13" s="2" t="s">
        <v>31</v>
      </c>
      <c r="D13" s="2" t="s">
        <v>45</v>
      </c>
      <c r="E13" s="2">
        <v>939368</v>
      </c>
      <c r="F13" s="2">
        <v>1705459</v>
      </c>
      <c r="G13" s="2" t="s">
        <v>15</v>
      </c>
    </row>
    <row r="14" spans="1:7" ht="14.4" x14ac:dyDescent="0.3">
      <c r="A14" s="2" t="s">
        <v>46</v>
      </c>
      <c r="B14" s="2" t="s">
        <v>27</v>
      </c>
      <c r="C14" s="2" t="s">
        <v>13</v>
      </c>
      <c r="D14" s="2" t="s">
        <v>47</v>
      </c>
      <c r="E14" s="2">
        <v>1013405</v>
      </c>
      <c r="F14" s="2">
        <v>642679</v>
      </c>
      <c r="G14" s="2" t="s">
        <v>29</v>
      </c>
    </row>
    <row r="15" spans="1:7" ht="14.4" x14ac:dyDescent="0.3">
      <c r="A15" s="2" t="s">
        <v>48</v>
      </c>
      <c r="B15" s="2" t="s">
        <v>49</v>
      </c>
      <c r="C15" s="2" t="s">
        <v>13</v>
      </c>
      <c r="D15" s="2" t="s">
        <v>50</v>
      </c>
      <c r="E15" s="2">
        <v>960566</v>
      </c>
      <c r="F15" s="2">
        <v>1735740</v>
      </c>
      <c r="G15" s="2" t="s">
        <v>15</v>
      </c>
    </row>
    <row r="16" spans="1:7" ht="14.4" x14ac:dyDescent="0.3">
      <c r="A16" s="2" t="s">
        <v>51</v>
      </c>
      <c r="B16" s="2" t="s">
        <v>20</v>
      </c>
      <c r="C16" s="2" t="s">
        <v>9</v>
      </c>
      <c r="D16" s="2" t="s">
        <v>52</v>
      </c>
      <c r="E16" s="2">
        <v>1161552</v>
      </c>
      <c r="F16" s="2">
        <v>1141303</v>
      </c>
      <c r="G16" s="2" t="s">
        <v>15</v>
      </c>
    </row>
    <row r="17" spans="1:7" ht="14.4" x14ac:dyDescent="0.3">
      <c r="A17" s="2" t="s">
        <v>53</v>
      </c>
      <c r="B17" s="2" t="s">
        <v>20</v>
      </c>
      <c r="C17" s="2" t="s">
        <v>13</v>
      </c>
      <c r="D17" s="2" t="s">
        <v>54</v>
      </c>
      <c r="E17" s="2">
        <v>1159927</v>
      </c>
      <c r="F17" s="2">
        <v>745910</v>
      </c>
      <c r="G17" s="2" t="s">
        <v>29</v>
      </c>
    </row>
    <row r="18" spans="1:7" ht="14.4" x14ac:dyDescent="0.3">
      <c r="A18" s="2" t="s">
        <v>55</v>
      </c>
      <c r="B18" s="2" t="s">
        <v>42</v>
      </c>
      <c r="C18" s="2" t="s">
        <v>56</v>
      </c>
      <c r="D18" s="2" t="s">
        <v>57</v>
      </c>
      <c r="E18" s="2">
        <v>799623</v>
      </c>
      <c r="F18" s="2">
        <v>855493</v>
      </c>
      <c r="G18" s="2" t="s">
        <v>11</v>
      </c>
    </row>
    <row r="19" spans="1:7" ht="14.4" x14ac:dyDescent="0.3">
      <c r="A19" s="2" t="s">
        <v>58</v>
      </c>
      <c r="B19" s="2" t="s">
        <v>49</v>
      </c>
      <c r="C19" s="2" t="s">
        <v>13</v>
      </c>
      <c r="D19" s="2" t="s">
        <v>59</v>
      </c>
      <c r="E19" s="2">
        <v>1398490</v>
      </c>
      <c r="F19" s="2">
        <v>2182871</v>
      </c>
      <c r="G19" s="2" t="s">
        <v>29</v>
      </c>
    </row>
    <row r="20" spans="1:7" ht="14.4" x14ac:dyDescent="0.3">
      <c r="A20" s="2" t="s">
        <v>60</v>
      </c>
      <c r="B20" s="2" t="s">
        <v>37</v>
      </c>
      <c r="C20" s="2" t="s">
        <v>24</v>
      </c>
      <c r="D20" s="2" t="s">
        <v>61</v>
      </c>
      <c r="E20" s="2">
        <v>790102</v>
      </c>
      <c r="F20" s="2">
        <v>1368554</v>
      </c>
      <c r="G20" s="2" t="s">
        <v>15</v>
      </c>
    </row>
    <row r="21" spans="1:7" ht="15.75" customHeight="1" x14ac:dyDescent="0.3">
      <c r="A21" s="2" t="s">
        <v>62</v>
      </c>
      <c r="B21" s="2" t="s">
        <v>17</v>
      </c>
      <c r="C21" s="2" t="s">
        <v>9</v>
      </c>
      <c r="D21" s="2" t="s">
        <v>63</v>
      </c>
      <c r="E21" s="2">
        <v>820531</v>
      </c>
      <c r="F21" s="2">
        <v>1615849</v>
      </c>
      <c r="G21" s="2" t="s">
        <v>29</v>
      </c>
    </row>
    <row r="22" spans="1:7" ht="15.75" customHeight="1" x14ac:dyDescent="0.3">
      <c r="A22" s="2" t="s">
        <v>64</v>
      </c>
      <c r="B22" s="2" t="s">
        <v>8</v>
      </c>
      <c r="C22" s="2" t="s">
        <v>56</v>
      </c>
      <c r="D22" s="2" t="s">
        <v>65</v>
      </c>
      <c r="E22" s="2">
        <v>1300313</v>
      </c>
      <c r="F22" s="2">
        <v>1549668</v>
      </c>
      <c r="G22" s="2" t="s">
        <v>22</v>
      </c>
    </row>
    <row r="23" spans="1:7" ht="15.75" customHeight="1" x14ac:dyDescent="0.3">
      <c r="A23" s="2" t="s">
        <v>66</v>
      </c>
      <c r="B23" s="2" t="s">
        <v>17</v>
      </c>
      <c r="C23" s="2" t="s">
        <v>9</v>
      </c>
      <c r="D23" s="2" t="s">
        <v>67</v>
      </c>
      <c r="E23" s="2">
        <v>1929650</v>
      </c>
      <c r="F23" s="2">
        <v>2155535</v>
      </c>
      <c r="G23" s="2" t="s">
        <v>22</v>
      </c>
    </row>
    <row r="24" spans="1:7" ht="15.75" customHeight="1" x14ac:dyDescent="0.3">
      <c r="A24" s="2" t="s">
        <v>68</v>
      </c>
      <c r="B24" s="2" t="s">
        <v>37</v>
      </c>
      <c r="C24" s="2" t="s">
        <v>9</v>
      </c>
      <c r="D24" s="2" t="s">
        <v>69</v>
      </c>
      <c r="E24" s="2">
        <v>1115514</v>
      </c>
      <c r="F24" s="2">
        <v>1211768</v>
      </c>
      <c r="G24" s="2" t="s">
        <v>29</v>
      </c>
    </row>
    <row r="25" spans="1:7" ht="15.75" customHeight="1" x14ac:dyDescent="0.3">
      <c r="A25" s="2" t="s">
        <v>70</v>
      </c>
      <c r="B25" s="2" t="s">
        <v>17</v>
      </c>
      <c r="C25" s="2" t="s">
        <v>31</v>
      </c>
      <c r="D25" s="2" t="s">
        <v>71</v>
      </c>
      <c r="E25" s="2">
        <v>1549805</v>
      </c>
      <c r="F25" s="2">
        <v>1897950</v>
      </c>
      <c r="G25" s="2" t="s">
        <v>15</v>
      </c>
    </row>
    <row r="26" spans="1:7" ht="15.75" customHeight="1" x14ac:dyDescent="0.3">
      <c r="A26" s="2" t="s">
        <v>72</v>
      </c>
      <c r="B26" s="2" t="s">
        <v>49</v>
      </c>
      <c r="C26" s="2" t="s">
        <v>13</v>
      </c>
      <c r="D26" s="2" t="s">
        <v>73</v>
      </c>
      <c r="E26" s="2">
        <v>1777103</v>
      </c>
      <c r="F26" s="2">
        <v>717146</v>
      </c>
      <c r="G26" s="2" t="s">
        <v>22</v>
      </c>
    </row>
    <row r="27" spans="1:7" ht="15.75" customHeight="1" x14ac:dyDescent="0.3">
      <c r="A27" s="2" t="s">
        <v>74</v>
      </c>
      <c r="B27" s="2" t="s">
        <v>27</v>
      </c>
      <c r="C27" s="2" t="s">
        <v>13</v>
      </c>
      <c r="D27" s="2" t="s">
        <v>75</v>
      </c>
      <c r="E27" s="2">
        <v>1612232</v>
      </c>
      <c r="F27" s="2">
        <v>301199</v>
      </c>
      <c r="G27" s="2" t="s">
        <v>22</v>
      </c>
    </row>
    <row r="28" spans="1:7" ht="15.75" customHeight="1" x14ac:dyDescent="0.3">
      <c r="A28" s="2" t="s">
        <v>76</v>
      </c>
      <c r="B28" s="2" t="s">
        <v>34</v>
      </c>
      <c r="C28" s="2" t="s">
        <v>9</v>
      </c>
      <c r="D28" s="2" t="s">
        <v>77</v>
      </c>
      <c r="E28" s="2">
        <v>734603</v>
      </c>
      <c r="F28" s="2">
        <v>1061225</v>
      </c>
      <c r="G28" s="2" t="s">
        <v>11</v>
      </c>
    </row>
    <row r="29" spans="1:7" ht="15.75" customHeight="1" x14ac:dyDescent="0.3">
      <c r="A29" s="2" t="s">
        <v>78</v>
      </c>
      <c r="B29" s="2" t="s">
        <v>17</v>
      </c>
      <c r="C29" s="2" t="s">
        <v>24</v>
      </c>
      <c r="D29" s="2" t="s">
        <v>79</v>
      </c>
      <c r="E29" s="2">
        <v>1689833</v>
      </c>
      <c r="F29" s="2">
        <v>465165</v>
      </c>
      <c r="G29" s="2" t="s">
        <v>29</v>
      </c>
    </row>
    <row r="30" spans="1:7" ht="15.75" customHeight="1" x14ac:dyDescent="0.3">
      <c r="A30" s="2" t="s">
        <v>80</v>
      </c>
      <c r="B30" s="2" t="s">
        <v>8</v>
      </c>
      <c r="C30" s="2" t="s">
        <v>13</v>
      </c>
      <c r="D30" s="2" t="s">
        <v>81</v>
      </c>
      <c r="E30" s="2">
        <v>763738</v>
      </c>
      <c r="F30" s="2">
        <v>569256</v>
      </c>
      <c r="G30" s="2" t="s">
        <v>29</v>
      </c>
    </row>
    <row r="31" spans="1:7" ht="15.75" customHeight="1" x14ac:dyDescent="0.3">
      <c r="A31" s="2" t="s">
        <v>82</v>
      </c>
      <c r="B31" s="2" t="s">
        <v>27</v>
      </c>
      <c r="C31" s="2" t="s">
        <v>31</v>
      </c>
      <c r="D31" s="2" t="s">
        <v>83</v>
      </c>
      <c r="E31" s="2">
        <v>1606612</v>
      </c>
      <c r="F31" s="2">
        <v>2129624</v>
      </c>
      <c r="G31" s="2" t="s">
        <v>29</v>
      </c>
    </row>
    <row r="32" spans="1:7" ht="15.75" customHeight="1" x14ac:dyDescent="0.3">
      <c r="A32" s="2" t="s">
        <v>84</v>
      </c>
      <c r="B32" s="2" t="s">
        <v>20</v>
      </c>
      <c r="C32" s="2" t="s">
        <v>13</v>
      </c>
      <c r="D32" s="2" t="s">
        <v>85</v>
      </c>
      <c r="E32" s="2">
        <v>1946757</v>
      </c>
      <c r="F32" s="2">
        <v>721844</v>
      </c>
      <c r="G32" s="2" t="s">
        <v>22</v>
      </c>
    </row>
    <row r="33" spans="1:7" ht="15.75" customHeight="1" x14ac:dyDescent="0.3">
      <c r="A33" s="2" t="s">
        <v>86</v>
      </c>
      <c r="B33" s="2" t="s">
        <v>42</v>
      </c>
      <c r="C33" s="2" t="s">
        <v>31</v>
      </c>
      <c r="D33" s="2" t="s">
        <v>87</v>
      </c>
      <c r="E33" s="2">
        <v>1418762</v>
      </c>
      <c r="F33" s="2">
        <v>2186627</v>
      </c>
      <c r="G33" s="2" t="s">
        <v>29</v>
      </c>
    </row>
    <row r="34" spans="1:7" ht="15.75" customHeight="1" x14ac:dyDescent="0.3">
      <c r="A34" s="2" t="s">
        <v>88</v>
      </c>
      <c r="B34" s="2" t="s">
        <v>8</v>
      </c>
      <c r="C34" s="2" t="s">
        <v>24</v>
      </c>
      <c r="D34" s="2" t="s">
        <v>89</v>
      </c>
      <c r="E34" s="2">
        <v>971224</v>
      </c>
      <c r="F34" s="2">
        <v>434272</v>
      </c>
      <c r="G34" s="2" t="s">
        <v>15</v>
      </c>
    </row>
    <row r="35" spans="1:7" ht="15.75" customHeight="1" x14ac:dyDescent="0.3">
      <c r="A35" s="2" t="s">
        <v>90</v>
      </c>
      <c r="B35" s="2" t="s">
        <v>20</v>
      </c>
      <c r="C35" s="2" t="s">
        <v>13</v>
      </c>
      <c r="D35" s="2" t="s">
        <v>91</v>
      </c>
      <c r="E35" s="2">
        <v>961829</v>
      </c>
      <c r="F35" s="2">
        <v>315080</v>
      </c>
      <c r="G35" s="2" t="s">
        <v>15</v>
      </c>
    </row>
    <row r="36" spans="1:7" ht="15.75" customHeight="1" x14ac:dyDescent="0.3">
      <c r="A36" s="2" t="s">
        <v>92</v>
      </c>
      <c r="B36" s="2" t="s">
        <v>20</v>
      </c>
      <c r="C36" s="2" t="s">
        <v>9</v>
      </c>
      <c r="D36" s="2" t="s">
        <v>93</v>
      </c>
      <c r="E36" s="2">
        <v>565877</v>
      </c>
      <c r="F36" s="2">
        <v>2102786</v>
      </c>
      <c r="G36" s="2" t="s">
        <v>15</v>
      </c>
    </row>
    <row r="37" spans="1:7" ht="15.75" customHeight="1" x14ac:dyDescent="0.3">
      <c r="A37" s="2" t="s">
        <v>94</v>
      </c>
      <c r="B37" s="2" t="s">
        <v>20</v>
      </c>
      <c r="C37" s="2" t="s">
        <v>31</v>
      </c>
      <c r="D37" s="2" t="s">
        <v>95</v>
      </c>
      <c r="E37" s="2">
        <v>1902948</v>
      </c>
      <c r="F37" s="2">
        <v>1317987</v>
      </c>
      <c r="G37" s="2" t="s">
        <v>11</v>
      </c>
    </row>
    <row r="38" spans="1:7" ht="15.75" customHeight="1" x14ac:dyDescent="0.3">
      <c r="A38" s="2" t="s">
        <v>96</v>
      </c>
      <c r="B38" s="2" t="s">
        <v>34</v>
      </c>
      <c r="C38" s="2" t="s">
        <v>24</v>
      </c>
      <c r="D38" s="2" t="s">
        <v>97</v>
      </c>
      <c r="E38" s="2">
        <v>1491896</v>
      </c>
      <c r="F38" s="2">
        <v>1993443</v>
      </c>
      <c r="G38" s="2" t="s">
        <v>11</v>
      </c>
    </row>
    <row r="39" spans="1:7" ht="15.75" customHeight="1" x14ac:dyDescent="0.3">
      <c r="A39" s="2" t="s">
        <v>98</v>
      </c>
      <c r="B39" s="2" t="s">
        <v>8</v>
      </c>
      <c r="C39" s="2" t="s">
        <v>9</v>
      </c>
      <c r="D39" s="2" t="s">
        <v>99</v>
      </c>
      <c r="E39" s="2">
        <v>1881986</v>
      </c>
      <c r="F39" s="2">
        <v>1203979</v>
      </c>
      <c r="G39" s="2" t="s">
        <v>29</v>
      </c>
    </row>
    <row r="40" spans="1:7" ht="15.75" customHeight="1" x14ac:dyDescent="0.3">
      <c r="A40" s="2" t="s">
        <v>100</v>
      </c>
      <c r="B40" s="2" t="s">
        <v>42</v>
      </c>
      <c r="C40" s="2" t="s">
        <v>56</v>
      </c>
      <c r="D40" s="2" t="s">
        <v>101</v>
      </c>
      <c r="E40" s="2">
        <v>613605</v>
      </c>
      <c r="F40" s="2">
        <v>1712147</v>
      </c>
      <c r="G40" s="2" t="s">
        <v>15</v>
      </c>
    </row>
    <row r="41" spans="1:7" ht="15.75" customHeight="1" x14ac:dyDescent="0.3">
      <c r="A41" s="2" t="s">
        <v>102</v>
      </c>
      <c r="B41" s="2" t="s">
        <v>17</v>
      </c>
      <c r="C41" s="2" t="s">
        <v>56</v>
      </c>
      <c r="D41" s="2" t="s">
        <v>103</v>
      </c>
      <c r="E41" s="2">
        <v>1211569</v>
      </c>
      <c r="F41" s="2">
        <v>1978964</v>
      </c>
      <c r="G41" s="2" t="s">
        <v>11</v>
      </c>
    </row>
    <row r="42" spans="1:7" ht="15.75" customHeight="1" x14ac:dyDescent="0.3">
      <c r="A42" s="2" t="s">
        <v>104</v>
      </c>
      <c r="B42" s="2" t="s">
        <v>20</v>
      </c>
      <c r="C42" s="2" t="s">
        <v>24</v>
      </c>
      <c r="D42" s="2" t="s">
        <v>57</v>
      </c>
      <c r="E42" s="2">
        <v>1624672</v>
      </c>
      <c r="F42" s="2">
        <v>1240810</v>
      </c>
      <c r="G42" s="2" t="s">
        <v>29</v>
      </c>
    </row>
    <row r="43" spans="1:7" ht="15.75" customHeight="1" x14ac:dyDescent="0.3">
      <c r="A43" s="2" t="s">
        <v>105</v>
      </c>
      <c r="B43" s="2" t="s">
        <v>27</v>
      </c>
      <c r="C43" s="2" t="s">
        <v>31</v>
      </c>
      <c r="D43" s="2" t="s">
        <v>106</v>
      </c>
      <c r="E43" s="2">
        <v>1470201</v>
      </c>
      <c r="F43" s="2">
        <v>823882</v>
      </c>
      <c r="G43" s="2" t="s">
        <v>29</v>
      </c>
    </row>
    <row r="44" spans="1:7" ht="15.75" customHeight="1" x14ac:dyDescent="0.3">
      <c r="A44" s="2" t="s">
        <v>107</v>
      </c>
      <c r="B44" s="2" t="s">
        <v>8</v>
      </c>
      <c r="C44" s="2" t="s">
        <v>9</v>
      </c>
      <c r="D44" s="2" t="s">
        <v>108</v>
      </c>
      <c r="E44" s="2">
        <v>1867646</v>
      </c>
      <c r="F44" s="2">
        <v>1433695</v>
      </c>
      <c r="G44" s="2" t="s">
        <v>15</v>
      </c>
    </row>
    <row r="45" spans="1:7" ht="15.75" customHeight="1" x14ac:dyDescent="0.3">
      <c r="A45" s="2" t="s">
        <v>109</v>
      </c>
      <c r="B45" s="2" t="s">
        <v>20</v>
      </c>
      <c r="C45" s="2" t="s">
        <v>24</v>
      </c>
      <c r="D45" s="2" t="s">
        <v>110</v>
      </c>
      <c r="E45" s="2">
        <v>1352312</v>
      </c>
      <c r="F45" s="2">
        <v>1318463</v>
      </c>
      <c r="G45" s="2" t="s">
        <v>11</v>
      </c>
    </row>
    <row r="46" spans="1:7" ht="15.75" customHeight="1" x14ac:dyDescent="0.3">
      <c r="A46" s="2" t="s">
        <v>111</v>
      </c>
      <c r="B46" s="2" t="s">
        <v>42</v>
      </c>
      <c r="C46" s="2" t="s">
        <v>9</v>
      </c>
      <c r="D46" s="2" t="s">
        <v>112</v>
      </c>
      <c r="E46" s="2">
        <v>845269</v>
      </c>
      <c r="F46" s="2">
        <v>1094764</v>
      </c>
      <c r="G46" s="2" t="s">
        <v>29</v>
      </c>
    </row>
    <row r="47" spans="1:7" ht="15.75" customHeight="1" x14ac:dyDescent="0.3">
      <c r="A47" s="2" t="s">
        <v>113</v>
      </c>
      <c r="B47" s="2" t="s">
        <v>49</v>
      </c>
      <c r="C47" s="2" t="s">
        <v>56</v>
      </c>
      <c r="D47" s="2" t="s">
        <v>114</v>
      </c>
      <c r="E47" s="2">
        <v>1098210</v>
      </c>
      <c r="F47" s="2">
        <v>1187110</v>
      </c>
      <c r="G47" s="2" t="s">
        <v>29</v>
      </c>
    </row>
    <row r="48" spans="1:7" ht="15.75" customHeight="1" x14ac:dyDescent="0.3">
      <c r="A48" s="2" t="s">
        <v>115</v>
      </c>
      <c r="B48" s="2" t="s">
        <v>27</v>
      </c>
      <c r="C48" s="2" t="s">
        <v>24</v>
      </c>
      <c r="D48" s="2" t="s">
        <v>116</v>
      </c>
      <c r="E48" s="2">
        <v>1122241</v>
      </c>
      <c r="F48" s="2">
        <v>756551</v>
      </c>
      <c r="G48" s="2" t="s">
        <v>15</v>
      </c>
    </row>
    <row r="49" spans="1:7" ht="15.75" customHeight="1" x14ac:dyDescent="0.3">
      <c r="A49" s="2" t="s">
        <v>117</v>
      </c>
      <c r="B49" s="2" t="s">
        <v>37</v>
      </c>
      <c r="C49" s="2" t="s">
        <v>9</v>
      </c>
      <c r="D49" s="2" t="s">
        <v>118</v>
      </c>
      <c r="E49" s="2">
        <v>605156</v>
      </c>
      <c r="F49" s="2">
        <v>1525109</v>
      </c>
      <c r="G49" s="2" t="s">
        <v>11</v>
      </c>
    </row>
    <row r="50" spans="1:7" ht="15.75" customHeight="1" x14ac:dyDescent="0.3">
      <c r="A50" s="2" t="s">
        <v>119</v>
      </c>
      <c r="B50" s="2" t="s">
        <v>17</v>
      </c>
      <c r="C50" s="2" t="s">
        <v>13</v>
      </c>
      <c r="D50" s="2" t="s">
        <v>120</v>
      </c>
      <c r="E50" s="2">
        <v>668005</v>
      </c>
      <c r="F50" s="2">
        <v>2085394</v>
      </c>
      <c r="G50" s="2" t="s">
        <v>15</v>
      </c>
    </row>
    <row r="51" spans="1:7" ht="15.75" customHeight="1" x14ac:dyDescent="0.3">
      <c r="A51" s="2" t="s">
        <v>121</v>
      </c>
      <c r="B51" s="2" t="s">
        <v>8</v>
      </c>
      <c r="C51" s="2" t="s">
        <v>24</v>
      </c>
      <c r="D51" s="2" t="s">
        <v>122</v>
      </c>
      <c r="E51" s="2">
        <v>1346778</v>
      </c>
      <c r="F51" s="2">
        <v>551420</v>
      </c>
      <c r="G51" s="2" t="s">
        <v>11</v>
      </c>
    </row>
    <row r="52" spans="1:7" ht="15.75" customHeight="1" x14ac:dyDescent="0.3">
      <c r="A52" s="2" t="s">
        <v>123</v>
      </c>
      <c r="B52" s="2" t="s">
        <v>17</v>
      </c>
      <c r="C52" s="2" t="s">
        <v>13</v>
      </c>
      <c r="D52" s="2" t="s">
        <v>124</v>
      </c>
      <c r="E52" s="2">
        <v>671931</v>
      </c>
      <c r="F52" s="2">
        <v>1179178</v>
      </c>
      <c r="G52" s="2" t="s">
        <v>22</v>
      </c>
    </row>
    <row r="53" spans="1:7" ht="15.75" customHeight="1" x14ac:dyDescent="0.3">
      <c r="A53" s="2" t="s">
        <v>125</v>
      </c>
      <c r="B53" s="2" t="s">
        <v>49</v>
      </c>
      <c r="C53" s="2" t="s">
        <v>24</v>
      </c>
      <c r="D53" s="2" t="s">
        <v>126</v>
      </c>
      <c r="E53" s="2">
        <v>1904517</v>
      </c>
      <c r="F53" s="2">
        <v>1801963</v>
      </c>
      <c r="G53" s="2" t="s">
        <v>11</v>
      </c>
    </row>
    <row r="54" spans="1:7" ht="15.75" customHeight="1" x14ac:dyDescent="0.3">
      <c r="A54" s="2" t="s">
        <v>127</v>
      </c>
      <c r="B54" s="2" t="s">
        <v>49</v>
      </c>
      <c r="C54" s="2" t="s">
        <v>56</v>
      </c>
      <c r="D54" s="2" t="s">
        <v>128</v>
      </c>
      <c r="E54" s="2">
        <v>774471</v>
      </c>
      <c r="F54" s="2">
        <v>1708636</v>
      </c>
      <c r="G54" s="2" t="s">
        <v>22</v>
      </c>
    </row>
    <row r="55" spans="1:7" ht="15.75" customHeight="1" x14ac:dyDescent="0.3">
      <c r="A55" s="2" t="s">
        <v>129</v>
      </c>
      <c r="B55" s="2" t="s">
        <v>34</v>
      </c>
      <c r="C55" s="2" t="s">
        <v>31</v>
      </c>
      <c r="D55" s="2" t="s">
        <v>130</v>
      </c>
      <c r="E55" s="2">
        <v>652133</v>
      </c>
      <c r="F55" s="2">
        <v>319535</v>
      </c>
      <c r="G55" s="2" t="s">
        <v>15</v>
      </c>
    </row>
    <row r="56" spans="1:7" ht="15.75" customHeight="1" x14ac:dyDescent="0.3">
      <c r="A56" s="2" t="s">
        <v>131</v>
      </c>
      <c r="B56" s="2" t="s">
        <v>8</v>
      </c>
      <c r="C56" s="2" t="s">
        <v>13</v>
      </c>
      <c r="D56" s="2" t="s">
        <v>32</v>
      </c>
      <c r="E56" s="2">
        <v>947016</v>
      </c>
      <c r="F56" s="2">
        <v>1360917</v>
      </c>
      <c r="G56" s="2" t="s">
        <v>11</v>
      </c>
    </row>
    <row r="57" spans="1:7" ht="15.75" customHeight="1" x14ac:dyDescent="0.3">
      <c r="A57" s="2" t="s">
        <v>132</v>
      </c>
      <c r="B57" s="2" t="s">
        <v>37</v>
      </c>
      <c r="C57" s="2" t="s">
        <v>9</v>
      </c>
      <c r="D57" s="2" t="s">
        <v>133</v>
      </c>
      <c r="E57" s="2">
        <v>1012301</v>
      </c>
      <c r="F57" s="2">
        <v>1074954</v>
      </c>
      <c r="G57" s="2" t="s">
        <v>11</v>
      </c>
    </row>
    <row r="58" spans="1:7" ht="15.75" customHeight="1" x14ac:dyDescent="0.3">
      <c r="A58" s="2" t="s">
        <v>134</v>
      </c>
      <c r="B58" s="2" t="s">
        <v>34</v>
      </c>
      <c r="C58" s="2" t="s">
        <v>13</v>
      </c>
      <c r="D58" s="2" t="s">
        <v>135</v>
      </c>
      <c r="E58" s="2">
        <v>1975430</v>
      </c>
      <c r="F58" s="2">
        <v>934424</v>
      </c>
      <c r="G58" s="2" t="s">
        <v>15</v>
      </c>
    </row>
    <row r="59" spans="1:7" ht="15.75" customHeight="1" x14ac:dyDescent="0.3">
      <c r="A59" s="2" t="s">
        <v>136</v>
      </c>
      <c r="B59" s="2" t="s">
        <v>49</v>
      </c>
      <c r="C59" s="2" t="s">
        <v>9</v>
      </c>
      <c r="D59" s="2" t="s">
        <v>137</v>
      </c>
      <c r="E59" s="2">
        <v>781628</v>
      </c>
      <c r="F59" s="2">
        <v>854625</v>
      </c>
      <c r="G59" s="2" t="s">
        <v>15</v>
      </c>
    </row>
    <row r="60" spans="1:7" ht="15.75" customHeight="1" x14ac:dyDescent="0.3">
      <c r="A60" s="2" t="s">
        <v>138</v>
      </c>
      <c r="B60" s="2" t="s">
        <v>27</v>
      </c>
      <c r="C60" s="2" t="s">
        <v>31</v>
      </c>
      <c r="D60" s="2" t="s">
        <v>139</v>
      </c>
      <c r="E60" s="2">
        <v>1090885</v>
      </c>
      <c r="F60" s="2">
        <v>1568420</v>
      </c>
      <c r="G60" s="2" t="s">
        <v>22</v>
      </c>
    </row>
    <row r="61" spans="1:7" ht="15.75" customHeight="1" x14ac:dyDescent="0.3">
      <c r="A61" s="2" t="s">
        <v>140</v>
      </c>
      <c r="B61" s="2" t="s">
        <v>20</v>
      </c>
      <c r="C61" s="2" t="s">
        <v>31</v>
      </c>
      <c r="D61" s="2" t="s">
        <v>141</v>
      </c>
      <c r="E61" s="2">
        <v>1559919</v>
      </c>
      <c r="F61" s="2">
        <v>1324525</v>
      </c>
      <c r="G61" s="2" t="s">
        <v>15</v>
      </c>
    </row>
    <row r="62" spans="1:7" ht="15.75" customHeight="1" x14ac:dyDescent="0.3">
      <c r="A62" s="2" t="s">
        <v>142</v>
      </c>
      <c r="B62" s="2" t="s">
        <v>8</v>
      </c>
      <c r="C62" s="2" t="s">
        <v>56</v>
      </c>
      <c r="D62" s="2" t="s">
        <v>112</v>
      </c>
      <c r="E62" s="2">
        <v>1080240</v>
      </c>
      <c r="F62" s="2">
        <v>392456</v>
      </c>
      <c r="G62" s="2" t="s">
        <v>22</v>
      </c>
    </row>
    <row r="63" spans="1:7" ht="15.75" customHeight="1" x14ac:dyDescent="0.3">
      <c r="A63" s="2" t="s">
        <v>143</v>
      </c>
      <c r="B63" s="2" t="s">
        <v>27</v>
      </c>
      <c r="C63" s="2" t="s">
        <v>31</v>
      </c>
      <c r="D63" s="2" t="s">
        <v>144</v>
      </c>
      <c r="E63" s="2">
        <v>838861</v>
      </c>
      <c r="F63" s="2">
        <v>1854473</v>
      </c>
      <c r="G63" s="2" t="s">
        <v>29</v>
      </c>
    </row>
    <row r="64" spans="1:7" ht="15.75" customHeight="1" x14ac:dyDescent="0.3">
      <c r="A64" s="2" t="s">
        <v>145</v>
      </c>
      <c r="B64" s="2" t="s">
        <v>17</v>
      </c>
      <c r="C64" s="2" t="s">
        <v>9</v>
      </c>
      <c r="D64" s="2" t="s">
        <v>146</v>
      </c>
      <c r="E64" s="2">
        <v>657797</v>
      </c>
      <c r="F64" s="2">
        <v>2152008</v>
      </c>
      <c r="G64" s="2" t="s">
        <v>11</v>
      </c>
    </row>
    <row r="65" spans="1:7" ht="15.75" customHeight="1" x14ac:dyDescent="0.3">
      <c r="A65" s="2" t="s">
        <v>147</v>
      </c>
      <c r="B65" s="2" t="s">
        <v>17</v>
      </c>
      <c r="C65" s="2" t="s">
        <v>31</v>
      </c>
      <c r="D65" s="2" t="s">
        <v>148</v>
      </c>
      <c r="E65" s="2">
        <v>1721611</v>
      </c>
      <c r="F65" s="2">
        <v>1458729</v>
      </c>
      <c r="G65" s="2" t="s">
        <v>29</v>
      </c>
    </row>
    <row r="66" spans="1:7" ht="15.75" customHeight="1" x14ac:dyDescent="0.3">
      <c r="A66" s="2" t="s">
        <v>149</v>
      </c>
      <c r="B66" s="2" t="s">
        <v>27</v>
      </c>
      <c r="C66" s="2" t="s">
        <v>9</v>
      </c>
      <c r="D66" s="2" t="s">
        <v>150</v>
      </c>
      <c r="E66" s="2">
        <v>1146464</v>
      </c>
      <c r="F66" s="2">
        <v>1064729</v>
      </c>
      <c r="G66" s="2" t="s">
        <v>22</v>
      </c>
    </row>
    <row r="67" spans="1:7" ht="15.75" customHeight="1" x14ac:dyDescent="0.3">
      <c r="A67" s="2" t="s">
        <v>151</v>
      </c>
      <c r="B67" s="2" t="s">
        <v>20</v>
      </c>
      <c r="C67" s="2" t="s">
        <v>24</v>
      </c>
      <c r="D67" s="2" t="s">
        <v>99</v>
      </c>
      <c r="E67" s="2">
        <v>1898660</v>
      </c>
      <c r="F67" s="2">
        <v>515573</v>
      </c>
      <c r="G67" s="2" t="s">
        <v>29</v>
      </c>
    </row>
    <row r="68" spans="1:7" ht="15.75" customHeight="1" x14ac:dyDescent="0.3">
      <c r="A68" s="2" t="s">
        <v>152</v>
      </c>
      <c r="B68" s="2" t="s">
        <v>27</v>
      </c>
      <c r="C68" s="2" t="s">
        <v>24</v>
      </c>
      <c r="D68" s="2" t="s">
        <v>153</v>
      </c>
      <c r="E68" s="2">
        <v>840790</v>
      </c>
      <c r="F68" s="2">
        <v>1977484</v>
      </c>
      <c r="G68" s="2" t="s">
        <v>29</v>
      </c>
    </row>
    <row r="69" spans="1:7" ht="15.75" customHeight="1" x14ac:dyDescent="0.3">
      <c r="A69" s="2" t="s">
        <v>154</v>
      </c>
      <c r="B69" s="2" t="s">
        <v>17</v>
      </c>
      <c r="C69" s="2" t="s">
        <v>24</v>
      </c>
      <c r="D69" s="2" t="s">
        <v>155</v>
      </c>
      <c r="E69" s="2">
        <v>1196643</v>
      </c>
      <c r="F69" s="2">
        <v>1940783</v>
      </c>
      <c r="G69" s="2" t="s">
        <v>11</v>
      </c>
    </row>
    <row r="70" spans="1:7" ht="15.75" customHeight="1" x14ac:dyDescent="0.3">
      <c r="A70" s="2" t="s">
        <v>156</v>
      </c>
      <c r="B70" s="2" t="s">
        <v>49</v>
      </c>
      <c r="C70" s="2" t="s">
        <v>24</v>
      </c>
      <c r="D70" s="2" t="s">
        <v>157</v>
      </c>
      <c r="E70" s="2">
        <v>1970686</v>
      </c>
      <c r="F70" s="2">
        <v>526692</v>
      </c>
      <c r="G70" s="2" t="s">
        <v>15</v>
      </c>
    </row>
    <row r="71" spans="1:7" ht="15.75" customHeight="1" x14ac:dyDescent="0.3">
      <c r="A71" s="2" t="s">
        <v>158</v>
      </c>
      <c r="B71" s="2" t="s">
        <v>34</v>
      </c>
      <c r="C71" s="2" t="s">
        <v>24</v>
      </c>
      <c r="D71" s="2" t="s">
        <v>159</v>
      </c>
      <c r="E71" s="2">
        <v>918534</v>
      </c>
      <c r="F71" s="2">
        <v>2012506</v>
      </c>
      <c r="G71" s="2" t="s">
        <v>22</v>
      </c>
    </row>
    <row r="72" spans="1:7" ht="15.75" customHeight="1" x14ac:dyDescent="0.3">
      <c r="A72" s="2" t="s">
        <v>160</v>
      </c>
      <c r="B72" s="2" t="s">
        <v>49</v>
      </c>
      <c r="C72" s="2" t="s">
        <v>24</v>
      </c>
      <c r="D72" s="2" t="s">
        <v>81</v>
      </c>
      <c r="E72" s="2">
        <v>967504</v>
      </c>
      <c r="F72" s="2">
        <v>349627</v>
      </c>
      <c r="G72" s="2" t="s">
        <v>11</v>
      </c>
    </row>
    <row r="73" spans="1:7" ht="15.75" customHeight="1" x14ac:dyDescent="0.3">
      <c r="A73" s="2" t="s">
        <v>161</v>
      </c>
      <c r="B73" s="2" t="s">
        <v>42</v>
      </c>
      <c r="C73" s="2" t="s">
        <v>31</v>
      </c>
      <c r="D73" s="2" t="s">
        <v>38</v>
      </c>
      <c r="E73" s="2">
        <v>1084272</v>
      </c>
      <c r="F73" s="2">
        <v>2112679</v>
      </c>
      <c r="G73" s="2" t="s">
        <v>22</v>
      </c>
    </row>
    <row r="74" spans="1:7" ht="15.75" customHeight="1" x14ac:dyDescent="0.3">
      <c r="A74" s="2" t="s">
        <v>162</v>
      </c>
      <c r="B74" s="2" t="s">
        <v>37</v>
      </c>
      <c r="C74" s="2" t="s">
        <v>13</v>
      </c>
      <c r="D74" s="2" t="s">
        <v>67</v>
      </c>
      <c r="E74" s="2">
        <v>1338186</v>
      </c>
      <c r="F74" s="2">
        <v>1725052</v>
      </c>
      <c r="G74" s="2" t="s">
        <v>22</v>
      </c>
    </row>
    <row r="75" spans="1:7" ht="15.75" customHeight="1" x14ac:dyDescent="0.3">
      <c r="A75" s="2" t="s">
        <v>163</v>
      </c>
      <c r="B75" s="2" t="s">
        <v>17</v>
      </c>
      <c r="C75" s="2" t="s">
        <v>9</v>
      </c>
      <c r="D75" s="2" t="s">
        <v>164</v>
      </c>
      <c r="E75" s="2">
        <v>1047807</v>
      </c>
      <c r="F75" s="2">
        <v>674483</v>
      </c>
      <c r="G75" s="2" t="s">
        <v>22</v>
      </c>
    </row>
    <row r="76" spans="1:7" ht="15.75" customHeight="1" x14ac:dyDescent="0.3">
      <c r="A76" s="2" t="s">
        <v>165</v>
      </c>
      <c r="B76" s="2" t="s">
        <v>17</v>
      </c>
      <c r="C76" s="2" t="s">
        <v>9</v>
      </c>
      <c r="D76" s="2" t="s">
        <v>166</v>
      </c>
      <c r="E76" s="2">
        <v>1751100</v>
      </c>
      <c r="F76" s="2">
        <v>1211346</v>
      </c>
      <c r="G76" s="2" t="s">
        <v>22</v>
      </c>
    </row>
    <row r="77" spans="1:7" ht="15.75" customHeight="1" x14ac:dyDescent="0.3">
      <c r="A77" s="2" t="s">
        <v>167</v>
      </c>
      <c r="B77" s="2" t="s">
        <v>42</v>
      </c>
      <c r="C77" s="2" t="s">
        <v>13</v>
      </c>
      <c r="D77" s="2" t="s">
        <v>168</v>
      </c>
      <c r="E77" s="2">
        <v>1572531</v>
      </c>
      <c r="F77" s="2">
        <v>542526</v>
      </c>
      <c r="G77" s="2" t="s">
        <v>11</v>
      </c>
    </row>
    <row r="78" spans="1:7" ht="15.75" customHeight="1" x14ac:dyDescent="0.3">
      <c r="A78" s="2" t="s">
        <v>169</v>
      </c>
      <c r="B78" s="2" t="s">
        <v>49</v>
      </c>
      <c r="C78" s="2" t="s">
        <v>9</v>
      </c>
      <c r="D78" s="2" t="s">
        <v>170</v>
      </c>
      <c r="E78" s="2">
        <v>1986430</v>
      </c>
      <c r="F78" s="2">
        <v>1214478</v>
      </c>
      <c r="G78" s="2" t="s">
        <v>11</v>
      </c>
    </row>
    <row r="79" spans="1:7" ht="15.75" customHeight="1" x14ac:dyDescent="0.3">
      <c r="A79" s="2" t="s">
        <v>171</v>
      </c>
      <c r="B79" s="2" t="s">
        <v>37</v>
      </c>
      <c r="C79" s="2" t="s">
        <v>56</v>
      </c>
      <c r="D79" s="2" t="s">
        <v>93</v>
      </c>
      <c r="E79" s="2">
        <v>646745</v>
      </c>
      <c r="F79" s="2">
        <v>1693007</v>
      </c>
      <c r="G79" s="2" t="s">
        <v>22</v>
      </c>
    </row>
    <row r="80" spans="1:7" ht="15.75" customHeight="1" x14ac:dyDescent="0.3">
      <c r="A80" s="2" t="s">
        <v>172</v>
      </c>
      <c r="B80" s="2" t="s">
        <v>8</v>
      </c>
      <c r="C80" s="2" t="s">
        <v>31</v>
      </c>
      <c r="D80" s="2" t="s">
        <v>173</v>
      </c>
      <c r="E80" s="2">
        <v>1563512</v>
      </c>
      <c r="F80" s="2">
        <v>948616</v>
      </c>
      <c r="G80" s="2" t="s">
        <v>29</v>
      </c>
    </row>
    <row r="81" spans="1:7" ht="15.75" customHeight="1" x14ac:dyDescent="0.3">
      <c r="A81" s="2" t="s">
        <v>174</v>
      </c>
      <c r="B81" s="2" t="s">
        <v>37</v>
      </c>
      <c r="C81" s="2" t="s">
        <v>56</v>
      </c>
      <c r="D81" s="2" t="s">
        <v>175</v>
      </c>
      <c r="E81" s="2">
        <v>1962152</v>
      </c>
      <c r="F81" s="2">
        <v>920033</v>
      </c>
      <c r="G81" s="2" t="s">
        <v>11</v>
      </c>
    </row>
    <row r="82" spans="1:7" ht="15.75" customHeight="1" x14ac:dyDescent="0.3">
      <c r="A82" s="2" t="s">
        <v>176</v>
      </c>
      <c r="B82" s="2" t="s">
        <v>20</v>
      </c>
      <c r="C82" s="2" t="s">
        <v>56</v>
      </c>
      <c r="D82" s="2" t="s">
        <v>177</v>
      </c>
      <c r="E82" s="2">
        <v>1894458</v>
      </c>
      <c r="F82" s="2">
        <v>1095125</v>
      </c>
      <c r="G82" s="2" t="s">
        <v>11</v>
      </c>
    </row>
    <row r="83" spans="1:7" ht="15.75" customHeight="1" x14ac:dyDescent="0.3">
      <c r="A83" s="2" t="s">
        <v>178</v>
      </c>
      <c r="B83" s="2" t="s">
        <v>49</v>
      </c>
      <c r="C83" s="2" t="s">
        <v>56</v>
      </c>
      <c r="D83" s="2" t="s">
        <v>170</v>
      </c>
      <c r="E83" s="2">
        <v>1649107</v>
      </c>
      <c r="F83" s="2">
        <v>2048448</v>
      </c>
      <c r="G83" s="2" t="s">
        <v>22</v>
      </c>
    </row>
    <row r="84" spans="1:7" ht="15.75" customHeight="1" x14ac:dyDescent="0.3">
      <c r="A84" s="2" t="s">
        <v>179</v>
      </c>
      <c r="B84" s="2" t="s">
        <v>49</v>
      </c>
      <c r="C84" s="2" t="s">
        <v>24</v>
      </c>
      <c r="D84" s="2" t="s">
        <v>180</v>
      </c>
      <c r="E84" s="2">
        <v>1401540</v>
      </c>
      <c r="F84" s="2">
        <v>1947855</v>
      </c>
      <c r="G84" s="2" t="s">
        <v>22</v>
      </c>
    </row>
    <row r="85" spans="1:7" ht="15.75" customHeight="1" x14ac:dyDescent="0.3">
      <c r="A85" s="2" t="s">
        <v>181</v>
      </c>
      <c r="B85" s="2" t="s">
        <v>34</v>
      </c>
      <c r="C85" s="2" t="s">
        <v>56</v>
      </c>
      <c r="D85" s="2" t="s">
        <v>95</v>
      </c>
      <c r="E85" s="2">
        <v>1427276</v>
      </c>
      <c r="F85" s="2">
        <v>1716893</v>
      </c>
      <c r="G85" s="2" t="s">
        <v>29</v>
      </c>
    </row>
    <row r="86" spans="1:7" ht="15.75" customHeight="1" x14ac:dyDescent="0.3">
      <c r="A86" s="2" t="s">
        <v>182</v>
      </c>
      <c r="B86" s="2" t="s">
        <v>27</v>
      </c>
      <c r="C86" s="2" t="s">
        <v>9</v>
      </c>
      <c r="D86" s="2" t="s">
        <v>183</v>
      </c>
      <c r="E86" s="2">
        <v>1095143</v>
      </c>
      <c r="F86" s="2">
        <v>1380981</v>
      </c>
      <c r="G86" s="2" t="s">
        <v>22</v>
      </c>
    </row>
    <row r="87" spans="1:7" ht="15.75" customHeight="1" x14ac:dyDescent="0.3">
      <c r="A87" s="2" t="s">
        <v>184</v>
      </c>
      <c r="B87" s="2" t="s">
        <v>8</v>
      </c>
      <c r="C87" s="2" t="s">
        <v>24</v>
      </c>
      <c r="D87" s="2" t="s">
        <v>185</v>
      </c>
      <c r="E87" s="2">
        <v>1910954</v>
      </c>
      <c r="F87" s="2">
        <v>950996</v>
      </c>
      <c r="G87" s="2" t="s">
        <v>11</v>
      </c>
    </row>
    <row r="88" spans="1:7" ht="15.75" customHeight="1" x14ac:dyDescent="0.3">
      <c r="A88" s="2" t="s">
        <v>186</v>
      </c>
      <c r="B88" s="2" t="s">
        <v>27</v>
      </c>
      <c r="C88" s="2" t="s">
        <v>9</v>
      </c>
      <c r="D88" s="2" t="s">
        <v>187</v>
      </c>
      <c r="E88" s="2">
        <v>596917</v>
      </c>
      <c r="F88" s="2">
        <v>813472</v>
      </c>
      <c r="G88" s="2" t="s">
        <v>15</v>
      </c>
    </row>
    <row r="89" spans="1:7" ht="15.75" customHeight="1" x14ac:dyDescent="0.3">
      <c r="A89" s="2" t="s">
        <v>188</v>
      </c>
      <c r="B89" s="2" t="s">
        <v>34</v>
      </c>
      <c r="C89" s="2" t="s">
        <v>56</v>
      </c>
      <c r="D89" s="2" t="s">
        <v>189</v>
      </c>
      <c r="E89" s="2">
        <v>1820713</v>
      </c>
      <c r="F89" s="2">
        <v>1507269</v>
      </c>
      <c r="G89" s="2" t="s">
        <v>29</v>
      </c>
    </row>
    <row r="90" spans="1:7" ht="15.75" customHeight="1" x14ac:dyDescent="0.3">
      <c r="A90" s="2" t="s">
        <v>190</v>
      </c>
      <c r="B90" s="2" t="s">
        <v>34</v>
      </c>
      <c r="C90" s="2" t="s">
        <v>56</v>
      </c>
      <c r="D90" s="2" t="s">
        <v>54</v>
      </c>
      <c r="E90" s="2">
        <v>1011672</v>
      </c>
      <c r="F90" s="2">
        <v>609479</v>
      </c>
      <c r="G90" s="2" t="s">
        <v>15</v>
      </c>
    </row>
    <row r="91" spans="1:7" ht="15.75" customHeight="1" x14ac:dyDescent="0.3">
      <c r="A91" s="2" t="s">
        <v>191</v>
      </c>
      <c r="B91" s="2" t="s">
        <v>8</v>
      </c>
      <c r="C91" s="2" t="s">
        <v>56</v>
      </c>
      <c r="D91" s="2" t="s">
        <v>114</v>
      </c>
      <c r="E91" s="2">
        <v>958943</v>
      </c>
      <c r="F91" s="2">
        <v>668861</v>
      </c>
      <c r="G91" s="2" t="s">
        <v>29</v>
      </c>
    </row>
    <row r="92" spans="1:7" ht="15.75" customHeight="1" x14ac:dyDescent="0.3">
      <c r="A92" s="2" t="s">
        <v>192</v>
      </c>
      <c r="B92" s="2" t="s">
        <v>17</v>
      </c>
      <c r="C92" s="2" t="s">
        <v>13</v>
      </c>
      <c r="D92" s="2" t="s">
        <v>193</v>
      </c>
      <c r="E92" s="2">
        <v>1022606</v>
      </c>
      <c r="F92" s="2">
        <v>2079090</v>
      </c>
      <c r="G92" s="2" t="s">
        <v>29</v>
      </c>
    </row>
    <row r="93" spans="1:7" ht="15.75" customHeight="1" x14ac:dyDescent="0.3">
      <c r="A93" s="2" t="s">
        <v>194</v>
      </c>
      <c r="B93" s="2" t="s">
        <v>27</v>
      </c>
      <c r="C93" s="2" t="s">
        <v>56</v>
      </c>
      <c r="D93" s="2" t="s">
        <v>195</v>
      </c>
      <c r="E93" s="2">
        <v>1900011</v>
      </c>
      <c r="F93" s="2">
        <v>1413864</v>
      </c>
      <c r="G93" s="2" t="s">
        <v>22</v>
      </c>
    </row>
    <row r="94" spans="1:7" ht="15.75" customHeight="1" x14ac:dyDescent="0.3">
      <c r="A94" s="2" t="s">
        <v>196</v>
      </c>
      <c r="B94" s="2" t="s">
        <v>34</v>
      </c>
      <c r="C94" s="2" t="s">
        <v>13</v>
      </c>
      <c r="D94" s="2" t="s">
        <v>197</v>
      </c>
      <c r="E94" s="2">
        <v>1558596</v>
      </c>
      <c r="F94" s="2">
        <v>1194940</v>
      </c>
      <c r="G94" s="2" t="s">
        <v>29</v>
      </c>
    </row>
    <row r="95" spans="1:7" ht="15.75" customHeight="1" x14ac:dyDescent="0.3">
      <c r="A95" s="2" t="s">
        <v>198</v>
      </c>
      <c r="B95" s="2" t="s">
        <v>27</v>
      </c>
      <c r="C95" s="2" t="s">
        <v>56</v>
      </c>
      <c r="D95" s="2" t="s">
        <v>199</v>
      </c>
      <c r="E95" s="2">
        <v>1443864</v>
      </c>
      <c r="F95" s="2">
        <v>843564</v>
      </c>
      <c r="G95" s="2" t="s">
        <v>22</v>
      </c>
    </row>
    <row r="96" spans="1:7" ht="15.75" customHeight="1" x14ac:dyDescent="0.3">
      <c r="A96" s="2" t="s">
        <v>200</v>
      </c>
      <c r="B96" s="2" t="s">
        <v>34</v>
      </c>
      <c r="C96" s="2" t="s">
        <v>24</v>
      </c>
      <c r="D96" s="2" t="s">
        <v>201</v>
      </c>
      <c r="E96" s="2">
        <v>1075872</v>
      </c>
      <c r="F96" s="2">
        <v>1222479</v>
      </c>
      <c r="G96" s="2" t="s">
        <v>22</v>
      </c>
    </row>
    <row r="97" spans="1:7" ht="15.75" customHeight="1" x14ac:dyDescent="0.3">
      <c r="A97" s="2" t="s">
        <v>202</v>
      </c>
      <c r="B97" s="2" t="s">
        <v>20</v>
      </c>
      <c r="C97" s="2" t="s">
        <v>31</v>
      </c>
      <c r="D97" s="2" t="s">
        <v>203</v>
      </c>
      <c r="E97" s="2">
        <v>1204323</v>
      </c>
      <c r="F97" s="2">
        <v>970479</v>
      </c>
      <c r="G97" s="2" t="s">
        <v>15</v>
      </c>
    </row>
    <row r="98" spans="1:7" ht="15.75" customHeight="1" x14ac:dyDescent="0.3">
      <c r="A98" s="2" t="s">
        <v>204</v>
      </c>
      <c r="B98" s="2" t="s">
        <v>27</v>
      </c>
      <c r="C98" s="2" t="s">
        <v>24</v>
      </c>
      <c r="D98" s="2" t="s">
        <v>205</v>
      </c>
      <c r="E98" s="2">
        <v>984990</v>
      </c>
      <c r="F98" s="2">
        <v>1103283</v>
      </c>
      <c r="G98" s="2" t="s">
        <v>11</v>
      </c>
    </row>
    <row r="99" spans="1:7" ht="15.75" customHeight="1" x14ac:dyDescent="0.3">
      <c r="A99" s="2" t="s">
        <v>206</v>
      </c>
      <c r="B99" s="2" t="s">
        <v>20</v>
      </c>
      <c r="C99" s="2" t="s">
        <v>9</v>
      </c>
      <c r="D99" s="2" t="s">
        <v>93</v>
      </c>
      <c r="E99" s="2">
        <v>1370041</v>
      </c>
      <c r="F99" s="2">
        <v>1154797</v>
      </c>
      <c r="G99" s="2" t="s">
        <v>29</v>
      </c>
    </row>
    <row r="100" spans="1:7" ht="15.75" customHeight="1" x14ac:dyDescent="0.3">
      <c r="A100" s="2" t="s">
        <v>207</v>
      </c>
      <c r="B100" s="2" t="s">
        <v>42</v>
      </c>
      <c r="C100" s="2" t="s">
        <v>9</v>
      </c>
      <c r="D100" s="2" t="s">
        <v>208</v>
      </c>
      <c r="E100" s="2">
        <v>933763</v>
      </c>
      <c r="F100" s="2">
        <v>2046699</v>
      </c>
      <c r="G100" s="2" t="s">
        <v>29</v>
      </c>
    </row>
    <row r="101" spans="1:7" ht="15.75" customHeight="1" x14ac:dyDescent="0.3">
      <c r="A101" s="2" t="s">
        <v>209</v>
      </c>
      <c r="B101" s="2" t="s">
        <v>17</v>
      </c>
      <c r="C101" s="2" t="s">
        <v>13</v>
      </c>
      <c r="D101" s="2" t="s">
        <v>210</v>
      </c>
      <c r="E101" s="2">
        <v>1297716</v>
      </c>
      <c r="F101" s="2">
        <v>1300299</v>
      </c>
      <c r="G101" s="2" t="s">
        <v>22</v>
      </c>
    </row>
    <row r="102" spans="1:7" ht="15.75" customHeight="1" x14ac:dyDescent="0.3">
      <c r="A102" s="2" t="s">
        <v>211</v>
      </c>
      <c r="B102" s="2" t="s">
        <v>49</v>
      </c>
      <c r="C102" s="2" t="s">
        <v>56</v>
      </c>
      <c r="D102" s="2" t="s">
        <v>212</v>
      </c>
      <c r="E102" s="2">
        <v>1378751</v>
      </c>
      <c r="F102" s="2">
        <v>1428730</v>
      </c>
      <c r="G102" s="2" t="s">
        <v>11</v>
      </c>
    </row>
    <row r="103" spans="1:7" ht="15.75" customHeight="1" x14ac:dyDescent="0.3">
      <c r="A103" s="2" t="s">
        <v>213</v>
      </c>
      <c r="B103" s="2" t="s">
        <v>34</v>
      </c>
      <c r="C103" s="2" t="s">
        <v>24</v>
      </c>
      <c r="D103" s="2" t="s">
        <v>214</v>
      </c>
      <c r="E103" s="2">
        <v>1072386</v>
      </c>
      <c r="F103" s="2">
        <v>1214014</v>
      </c>
      <c r="G103" s="2" t="s">
        <v>15</v>
      </c>
    </row>
    <row r="104" spans="1:7" ht="15.75" customHeight="1" x14ac:dyDescent="0.3">
      <c r="A104" s="2" t="s">
        <v>215</v>
      </c>
      <c r="B104" s="2" t="s">
        <v>42</v>
      </c>
      <c r="C104" s="2" t="s">
        <v>31</v>
      </c>
      <c r="D104" s="2" t="s">
        <v>216</v>
      </c>
      <c r="E104" s="2">
        <v>1902729</v>
      </c>
      <c r="F104" s="2">
        <v>1724263</v>
      </c>
      <c r="G104" s="2" t="s">
        <v>11</v>
      </c>
    </row>
    <row r="105" spans="1:7" ht="15.75" customHeight="1" x14ac:dyDescent="0.3">
      <c r="A105" s="2" t="s">
        <v>217</v>
      </c>
      <c r="B105" s="2" t="s">
        <v>34</v>
      </c>
      <c r="C105" s="2" t="s">
        <v>24</v>
      </c>
      <c r="D105" s="2" t="s">
        <v>218</v>
      </c>
      <c r="E105" s="2">
        <v>1804967</v>
      </c>
      <c r="F105" s="2">
        <v>1420138</v>
      </c>
      <c r="G105" s="2" t="s">
        <v>29</v>
      </c>
    </row>
    <row r="106" spans="1:7" ht="15.75" customHeight="1" x14ac:dyDescent="0.3">
      <c r="A106" s="2" t="s">
        <v>219</v>
      </c>
      <c r="B106" s="2" t="s">
        <v>17</v>
      </c>
      <c r="C106" s="2" t="s">
        <v>9</v>
      </c>
      <c r="D106" s="2" t="s">
        <v>220</v>
      </c>
      <c r="E106" s="2">
        <v>1847943</v>
      </c>
      <c r="F106" s="2">
        <v>1198866</v>
      </c>
      <c r="G106" s="2" t="s">
        <v>29</v>
      </c>
    </row>
    <row r="107" spans="1:7" ht="15.75" customHeight="1" x14ac:dyDescent="0.3">
      <c r="A107" s="2" t="s">
        <v>221</v>
      </c>
      <c r="B107" s="2" t="s">
        <v>27</v>
      </c>
      <c r="C107" s="2" t="s">
        <v>9</v>
      </c>
      <c r="D107" s="2" t="s">
        <v>222</v>
      </c>
      <c r="E107" s="2">
        <v>1045587</v>
      </c>
      <c r="F107" s="2">
        <v>1095038</v>
      </c>
      <c r="G107" s="2" t="s">
        <v>11</v>
      </c>
    </row>
    <row r="108" spans="1:7" ht="15.75" customHeight="1" x14ac:dyDescent="0.3">
      <c r="A108" s="2" t="s">
        <v>223</v>
      </c>
      <c r="B108" s="2" t="s">
        <v>34</v>
      </c>
      <c r="C108" s="2" t="s">
        <v>31</v>
      </c>
      <c r="D108" s="2" t="s">
        <v>224</v>
      </c>
      <c r="E108" s="2">
        <v>1207789</v>
      </c>
      <c r="F108" s="2">
        <v>1896414</v>
      </c>
      <c r="G108" s="2" t="s">
        <v>22</v>
      </c>
    </row>
    <row r="109" spans="1:7" ht="15.75" customHeight="1" x14ac:dyDescent="0.3">
      <c r="A109" s="2" t="s">
        <v>225</v>
      </c>
      <c r="B109" s="2" t="s">
        <v>42</v>
      </c>
      <c r="C109" s="2" t="s">
        <v>31</v>
      </c>
      <c r="D109" s="2" t="s">
        <v>226</v>
      </c>
      <c r="E109" s="2">
        <v>671769</v>
      </c>
      <c r="F109" s="2">
        <v>1286304</v>
      </c>
      <c r="G109" s="2" t="s">
        <v>15</v>
      </c>
    </row>
    <row r="110" spans="1:7" ht="15.75" customHeight="1" x14ac:dyDescent="0.3">
      <c r="A110" s="2" t="s">
        <v>227</v>
      </c>
      <c r="B110" s="2" t="s">
        <v>37</v>
      </c>
      <c r="C110" s="2" t="s">
        <v>24</v>
      </c>
      <c r="D110" s="2" t="s">
        <v>228</v>
      </c>
      <c r="E110" s="2">
        <v>1863450</v>
      </c>
      <c r="F110" s="2">
        <v>443903</v>
      </c>
      <c r="G110" s="2" t="s">
        <v>15</v>
      </c>
    </row>
    <row r="111" spans="1:7" ht="15.75" customHeight="1" x14ac:dyDescent="0.3">
      <c r="A111" s="2" t="s">
        <v>229</v>
      </c>
      <c r="B111" s="2" t="s">
        <v>17</v>
      </c>
      <c r="C111" s="2" t="s">
        <v>24</v>
      </c>
      <c r="D111" s="2" t="s">
        <v>230</v>
      </c>
      <c r="E111" s="2">
        <v>918089</v>
      </c>
      <c r="F111" s="2">
        <v>2059990</v>
      </c>
      <c r="G111" s="2" t="s">
        <v>11</v>
      </c>
    </row>
    <row r="112" spans="1:7" ht="15.75" customHeight="1" x14ac:dyDescent="0.3">
      <c r="A112" s="2" t="s">
        <v>231</v>
      </c>
      <c r="B112" s="2" t="s">
        <v>20</v>
      </c>
      <c r="C112" s="2" t="s">
        <v>24</v>
      </c>
      <c r="D112" s="2" t="s">
        <v>232</v>
      </c>
      <c r="E112" s="2">
        <v>1493129</v>
      </c>
      <c r="F112" s="2">
        <v>1703956</v>
      </c>
      <c r="G112" s="2" t="s">
        <v>11</v>
      </c>
    </row>
    <row r="113" spans="1:7" ht="15.75" customHeight="1" x14ac:dyDescent="0.3">
      <c r="A113" s="2" t="s">
        <v>233</v>
      </c>
      <c r="B113" s="2" t="s">
        <v>34</v>
      </c>
      <c r="C113" s="2" t="s">
        <v>31</v>
      </c>
      <c r="D113" s="2" t="s">
        <v>83</v>
      </c>
      <c r="E113" s="2">
        <v>1273629</v>
      </c>
      <c r="F113" s="2">
        <v>651879</v>
      </c>
      <c r="G113" s="2" t="s">
        <v>15</v>
      </c>
    </row>
    <row r="114" spans="1:7" ht="15.75" customHeight="1" x14ac:dyDescent="0.3">
      <c r="A114" s="2" t="s">
        <v>234</v>
      </c>
      <c r="B114" s="2" t="s">
        <v>27</v>
      </c>
      <c r="C114" s="2" t="s">
        <v>31</v>
      </c>
      <c r="D114" s="2" t="s">
        <v>218</v>
      </c>
      <c r="E114" s="2">
        <v>726699</v>
      </c>
      <c r="F114" s="2">
        <v>1513589</v>
      </c>
      <c r="G114" s="2" t="s">
        <v>22</v>
      </c>
    </row>
    <row r="115" spans="1:7" ht="15.75" customHeight="1" x14ac:dyDescent="0.3">
      <c r="A115" s="2" t="s">
        <v>235</v>
      </c>
      <c r="B115" s="2" t="s">
        <v>42</v>
      </c>
      <c r="C115" s="2" t="s">
        <v>56</v>
      </c>
      <c r="D115" s="2" t="s">
        <v>106</v>
      </c>
      <c r="E115" s="2">
        <v>1999494</v>
      </c>
      <c r="F115" s="2">
        <v>715927</v>
      </c>
      <c r="G115" s="2" t="s">
        <v>11</v>
      </c>
    </row>
    <row r="116" spans="1:7" ht="15.75" customHeight="1" x14ac:dyDescent="0.3">
      <c r="A116" s="2" t="s">
        <v>236</v>
      </c>
      <c r="B116" s="2" t="s">
        <v>8</v>
      </c>
      <c r="C116" s="2" t="s">
        <v>31</v>
      </c>
      <c r="D116" s="2" t="s">
        <v>237</v>
      </c>
      <c r="E116" s="2">
        <v>1934995</v>
      </c>
      <c r="F116" s="2">
        <v>1559154</v>
      </c>
      <c r="G116" s="2" t="s">
        <v>15</v>
      </c>
    </row>
    <row r="117" spans="1:7" ht="15.75" customHeight="1" x14ac:dyDescent="0.3">
      <c r="A117" s="2" t="s">
        <v>238</v>
      </c>
      <c r="B117" s="2" t="s">
        <v>37</v>
      </c>
      <c r="C117" s="2" t="s">
        <v>13</v>
      </c>
      <c r="D117" s="2" t="s">
        <v>239</v>
      </c>
      <c r="E117" s="2">
        <v>1398373</v>
      </c>
      <c r="F117" s="2">
        <v>1687310</v>
      </c>
      <c r="G117" s="2" t="s">
        <v>15</v>
      </c>
    </row>
    <row r="118" spans="1:7" ht="15.75" customHeight="1" x14ac:dyDescent="0.3">
      <c r="A118" s="2" t="s">
        <v>240</v>
      </c>
      <c r="B118" s="2" t="s">
        <v>37</v>
      </c>
      <c r="C118" s="2" t="s">
        <v>9</v>
      </c>
      <c r="D118" s="2" t="s">
        <v>241</v>
      </c>
      <c r="E118" s="2">
        <v>1380927</v>
      </c>
      <c r="F118" s="2">
        <v>2024552</v>
      </c>
      <c r="G118" s="2" t="s">
        <v>15</v>
      </c>
    </row>
    <row r="119" spans="1:7" ht="15.75" customHeight="1" x14ac:dyDescent="0.3">
      <c r="A119" s="2" t="s">
        <v>242</v>
      </c>
      <c r="B119" s="2" t="s">
        <v>42</v>
      </c>
      <c r="C119" s="2" t="s">
        <v>31</v>
      </c>
      <c r="D119" s="2" t="s">
        <v>159</v>
      </c>
      <c r="E119" s="2">
        <v>1832918</v>
      </c>
      <c r="F119" s="2">
        <v>2169768</v>
      </c>
      <c r="G119" s="2" t="s">
        <v>11</v>
      </c>
    </row>
    <row r="120" spans="1:7" ht="15.75" customHeight="1" x14ac:dyDescent="0.3">
      <c r="A120" s="2" t="s">
        <v>243</v>
      </c>
      <c r="B120" s="2" t="s">
        <v>42</v>
      </c>
      <c r="C120" s="2" t="s">
        <v>24</v>
      </c>
      <c r="D120" s="2" t="s">
        <v>244</v>
      </c>
      <c r="E120" s="2">
        <v>1594182</v>
      </c>
      <c r="F120" s="2">
        <v>1664108</v>
      </c>
      <c r="G120" s="2" t="s">
        <v>29</v>
      </c>
    </row>
    <row r="121" spans="1:7" ht="15.75" customHeight="1" x14ac:dyDescent="0.3">
      <c r="A121" s="2" t="s">
        <v>245</v>
      </c>
      <c r="B121" s="2" t="s">
        <v>34</v>
      </c>
      <c r="C121" s="2" t="s">
        <v>56</v>
      </c>
      <c r="D121" s="2" t="s">
        <v>246</v>
      </c>
      <c r="E121" s="2">
        <v>1742509</v>
      </c>
      <c r="F121" s="2">
        <v>862866</v>
      </c>
      <c r="G121" s="2" t="s">
        <v>11</v>
      </c>
    </row>
    <row r="122" spans="1:7" ht="15.75" customHeight="1" x14ac:dyDescent="0.3">
      <c r="A122" s="2" t="s">
        <v>247</v>
      </c>
      <c r="B122" s="2" t="s">
        <v>8</v>
      </c>
      <c r="C122" s="2" t="s">
        <v>31</v>
      </c>
      <c r="D122" s="2" t="s">
        <v>248</v>
      </c>
      <c r="E122" s="2">
        <v>1445400</v>
      </c>
      <c r="F122" s="2">
        <v>811418</v>
      </c>
      <c r="G122" s="2" t="s">
        <v>29</v>
      </c>
    </row>
    <row r="123" spans="1:7" ht="15.75" customHeight="1" x14ac:dyDescent="0.3">
      <c r="A123" s="2" t="s">
        <v>249</v>
      </c>
      <c r="B123" s="2" t="s">
        <v>37</v>
      </c>
      <c r="C123" s="2" t="s">
        <v>9</v>
      </c>
      <c r="D123" s="2" t="s">
        <v>50</v>
      </c>
      <c r="E123" s="2">
        <v>1536635</v>
      </c>
      <c r="F123" s="2">
        <v>2084577</v>
      </c>
      <c r="G123" s="2" t="s">
        <v>11</v>
      </c>
    </row>
    <row r="124" spans="1:7" ht="15.75" customHeight="1" x14ac:dyDescent="0.3">
      <c r="A124" s="2" t="s">
        <v>250</v>
      </c>
      <c r="B124" s="2" t="s">
        <v>34</v>
      </c>
      <c r="C124" s="2" t="s">
        <v>24</v>
      </c>
      <c r="D124" s="2" t="s">
        <v>251</v>
      </c>
      <c r="E124" s="2">
        <v>1244121</v>
      </c>
      <c r="F124" s="2">
        <v>1973175</v>
      </c>
      <c r="G124" s="2" t="s">
        <v>22</v>
      </c>
    </row>
    <row r="125" spans="1:7" ht="15.75" customHeight="1" x14ac:dyDescent="0.3">
      <c r="A125" s="2" t="s">
        <v>252</v>
      </c>
      <c r="B125" s="2" t="s">
        <v>49</v>
      </c>
      <c r="C125" s="2" t="s">
        <v>13</v>
      </c>
      <c r="D125" s="2" t="s">
        <v>253</v>
      </c>
      <c r="E125" s="2">
        <v>1970488</v>
      </c>
      <c r="F125" s="2">
        <v>2145718</v>
      </c>
      <c r="G125" s="2" t="s">
        <v>15</v>
      </c>
    </row>
    <row r="126" spans="1:7" ht="15.75" customHeight="1" x14ac:dyDescent="0.3">
      <c r="A126" s="2" t="s">
        <v>254</v>
      </c>
      <c r="B126" s="2" t="s">
        <v>20</v>
      </c>
      <c r="C126" s="2" t="s">
        <v>9</v>
      </c>
      <c r="D126" s="2" t="s">
        <v>97</v>
      </c>
      <c r="E126" s="2">
        <v>1006160</v>
      </c>
      <c r="F126" s="2">
        <v>1810106</v>
      </c>
      <c r="G126" s="2" t="s">
        <v>29</v>
      </c>
    </row>
    <row r="127" spans="1:7" ht="15.75" customHeight="1" x14ac:dyDescent="0.3">
      <c r="A127" s="2" t="s">
        <v>255</v>
      </c>
      <c r="B127" s="2" t="s">
        <v>20</v>
      </c>
      <c r="C127" s="2" t="s">
        <v>56</v>
      </c>
      <c r="D127" s="2" t="s">
        <v>256</v>
      </c>
      <c r="E127" s="2">
        <v>1854556</v>
      </c>
      <c r="F127" s="2">
        <v>1792841</v>
      </c>
      <c r="G127" s="2" t="s">
        <v>29</v>
      </c>
    </row>
    <row r="128" spans="1:7" ht="15.75" customHeight="1" x14ac:dyDescent="0.3">
      <c r="A128" s="2" t="s">
        <v>257</v>
      </c>
      <c r="B128" s="2" t="s">
        <v>17</v>
      </c>
      <c r="C128" s="2" t="s">
        <v>9</v>
      </c>
      <c r="D128" s="2" t="s">
        <v>216</v>
      </c>
      <c r="E128" s="2">
        <v>1117056</v>
      </c>
      <c r="F128" s="2">
        <v>764721</v>
      </c>
      <c r="G128" s="2" t="s">
        <v>11</v>
      </c>
    </row>
    <row r="129" spans="1:7" ht="15.75" customHeight="1" x14ac:dyDescent="0.3">
      <c r="A129" s="2" t="s">
        <v>258</v>
      </c>
      <c r="B129" s="2" t="s">
        <v>49</v>
      </c>
      <c r="C129" s="2" t="s">
        <v>13</v>
      </c>
      <c r="D129" s="2" t="s">
        <v>175</v>
      </c>
      <c r="E129" s="2">
        <v>1273891</v>
      </c>
      <c r="F129" s="2">
        <v>1292499</v>
      </c>
      <c r="G129" s="2" t="s">
        <v>22</v>
      </c>
    </row>
    <row r="130" spans="1:7" ht="15.75" customHeight="1" x14ac:dyDescent="0.3">
      <c r="A130" s="2" t="s">
        <v>259</v>
      </c>
      <c r="B130" s="2" t="s">
        <v>42</v>
      </c>
      <c r="C130" s="2" t="s">
        <v>13</v>
      </c>
      <c r="D130" s="2" t="s">
        <v>260</v>
      </c>
      <c r="E130" s="2">
        <v>1193719</v>
      </c>
      <c r="F130" s="2">
        <v>1037800</v>
      </c>
      <c r="G130" s="2" t="s">
        <v>29</v>
      </c>
    </row>
    <row r="131" spans="1:7" ht="15.75" customHeight="1" x14ac:dyDescent="0.3">
      <c r="A131" s="2" t="s">
        <v>261</v>
      </c>
      <c r="B131" s="2" t="s">
        <v>49</v>
      </c>
      <c r="C131" s="2" t="s">
        <v>31</v>
      </c>
      <c r="D131" s="2" t="s">
        <v>237</v>
      </c>
      <c r="E131" s="2">
        <v>1027231</v>
      </c>
      <c r="F131" s="2">
        <v>783473</v>
      </c>
      <c r="G131" s="2" t="s">
        <v>11</v>
      </c>
    </row>
    <row r="132" spans="1:7" ht="15.75" customHeight="1" x14ac:dyDescent="0.3">
      <c r="A132" s="2" t="s">
        <v>262</v>
      </c>
      <c r="B132" s="2" t="s">
        <v>37</v>
      </c>
      <c r="C132" s="2" t="s">
        <v>9</v>
      </c>
      <c r="D132" s="2" t="s">
        <v>146</v>
      </c>
      <c r="E132" s="2">
        <v>1623788</v>
      </c>
      <c r="F132" s="2">
        <v>1898427</v>
      </c>
      <c r="G132" s="2" t="s">
        <v>11</v>
      </c>
    </row>
    <row r="133" spans="1:7" ht="15.75" customHeight="1" x14ac:dyDescent="0.3">
      <c r="A133" s="2" t="s">
        <v>263</v>
      </c>
      <c r="B133" s="2" t="s">
        <v>20</v>
      </c>
      <c r="C133" s="2" t="s">
        <v>24</v>
      </c>
      <c r="D133" s="2" t="s">
        <v>264</v>
      </c>
      <c r="E133" s="2">
        <v>1515438</v>
      </c>
      <c r="F133" s="2">
        <v>879861</v>
      </c>
      <c r="G133" s="2" t="s">
        <v>22</v>
      </c>
    </row>
    <row r="134" spans="1:7" ht="15.75" customHeight="1" x14ac:dyDescent="0.3">
      <c r="A134" s="2" t="s">
        <v>265</v>
      </c>
      <c r="B134" s="2" t="s">
        <v>8</v>
      </c>
      <c r="C134" s="2" t="s">
        <v>24</v>
      </c>
      <c r="D134" s="2" t="s">
        <v>266</v>
      </c>
      <c r="E134" s="2">
        <v>1121273</v>
      </c>
      <c r="F134" s="2">
        <v>777066</v>
      </c>
      <c r="G134" s="2" t="s">
        <v>11</v>
      </c>
    </row>
    <row r="135" spans="1:7" ht="15.75" customHeight="1" x14ac:dyDescent="0.3">
      <c r="A135" s="2" t="s">
        <v>267</v>
      </c>
      <c r="B135" s="2" t="s">
        <v>49</v>
      </c>
      <c r="C135" s="2" t="s">
        <v>9</v>
      </c>
      <c r="D135" s="2" t="s">
        <v>268</v>
      </c>
      <c r="E135" s="2">
        <v>1984822</v>
      </c>
      <c r="F135" s="2">
        <v>1420162</v>
      </c>
      <c r="G135" s="2" t="s">
        <v>22</v>
      </c>
    </row>
    <row r="136" spans="1:7" ht="15.75" customHeight="1" x14ac:dyDescent="0.3">
      <c r="A136" s="2" t="s">
        <v>269</v>
      </c>
      <c r="B136" s="2" t="s">
        <v>17</v>
      </c>
      <c r="C136" s="2" t="s">
        <v>9</v>
      </c>
      <c r="D136" s="2" t="s">
        <v>270</v>
      </c>
      <c r="E136" s="2">
        <v>1660477</v>
      </c>
      <c r="F136" s="2">
        <v>912654</v>
      </c>
      <c r="G136" s="2" t="s">
        <v>11</v>
      </c>
    </row>
    <row r="137" spans="1:7" ht="15.75" customHeight="1" x14ac:dyDescent="0.3">
      <c r="A137" s="2" t="s">
        <v>271</v>
      </c>
      <c r="B137" s="2" t="s">
        <v>34</v>
      </c>
      <c r="C137" s="2" t="s">
        <v>9</v>
      </c>
      <c r="D137" s="2" t="s">
        <v>133</v>
      </c>
      <c r="E137" s="2">
        <v>525722</v>
      </c>
      <c r="F137" s="2">
        <v>1503899</v>
      </c>
      <c r="G137" s="2" t="s">
        <v>29</v>
      </c>
    </row>
    <row r="138" spans="1:7" ht="15.75" customHeight="1" x14ac:dyDescent="0.3">
      <c r="A138" s="2" t="s">
        <v>272</v>
      </c>
      <c r="B138" s="2" t="s">
        <v>34</v>
      </c>
      <c r="C138" s="2" t="s">
        <v>56</v>
      </c>
      <c r="D138" s="2" t="s">
        <v>273</v>
      </c>
      <c r="E138" s="2">
        <v>1214512</v>
      </c>
      <c r="F138" s="2">
        <v>686638</v>
      </c>
      <c r="G138" s="2" t="s">
        <v>22</v>
      </c>
    </row>
    <row r="139" spans="1:7" ht="15.75" customHeight="1" x14ac:dyDescent="0.3">
      <c r="A139" s="2" t="s">
        <v>274</v>
      </c>
      <c r="B139" s="2" t="s">
        <v>34</v>
      </c>
      <c r="C139" s="2" t="s">
        <v>9</v>
      </c>
      <c r="D139" s="2" t="s">
        <v>256</v>
      </c>
      <c r="E139" s="2">
        <v>637035</v>
      </c>
      <c r="F139" s="2">
        <v>1140344</v>
      </c>
      <c r="G139" s="2" t="s">
        <v>15</v>
      </c>
    </row>
    <row r="140" spans="1:7" ht="15.75" customHeight="1" x14ac:dyDescent="0.3">
      <c r="A140" s="2" t="s">
        <v>275</v>
      </c>
      <c r="B140" s="2" t="s">
        <v>17</v>
      </c>
      <c r="C140" s="2" t="s">
        <v>24</v>
      </c>
      <c r="D140" s="2" t="s">
        <v>276</v>
      </c>
      <c r="E140" s="2">
        <v>812890</v>
      </c>
      <c r="F140" s="2">
        <v>2001088</v>
      </c>
      <c r="G140" s="2" t="s">
        <v>22</v>
      </c>
    </row>
    <row r="141" spans="1:7" ht="15.75" customHeight="1" x14ac:dyDescent="0.3">
      <c r="A141" s="2" t="s">
        <v>277</v>
      </c>
      <c r="B141" s="2" t="s">
        <v>8</v>
      </c>
      <c r="C141" s="2" t="s">
        <v>24</v>
      </c>
      <c r="D141" s="2" t="s">
        <v>278</v>
      </c>
      <c r="E141" s="2">
        <v>748410</v>
      </c>
      <c r="F141" s="2">
        <v>1470363</v>
      </c>
      <c r="G141" s="2" t="s">
        <v>11</v>
      </c>
    </row>
    <row r="142" spans="1:7" ht="15.75" customHeight="1" x14ac:dyDescent="0.3">
      <c r="A142" s="2" t="s">
        <v>279</v>
      </c>
      <c r="B142" s="2" t="s">
        <v>42</v>
      </c>
      <c r="C142" s="2" t="s">
        <v>56</v>
      </c>
      <c r="D142" s="2" t="s">
        <v>264</v>
      </c>
      <c r="E142" s="2">
        <v>1428453</v>
      </c>
      <c r="F142" s="2">
        <v>923594</v>
      </c>
      <c r="G142" s="2" t="s">
        <v>29</v>
      </c>
    </row>
    <row r="143" spans="1:7" ht="15.75" customHeight="1" x14ac:dyDescent="0.3">
      <c r="A143" s="2" t="s">
        <v>280</v>
      </c>
      <c r="B143" s="2" t="s">
        <v>49</v>
      </c>
      <c r="C143" s="2" t="s">
        <v>13</v>
      </c>
      <c r="D143" s="2" t="s">
        <v>281</v>
      </c>
      <c r="E143" s="2">
        <v>1802388</v>
      </c>
      <c r="F143" s="2">
        <v>426312</v>
      </c>
      <c r="G143" s="2" t="s">
        <v>15</v>
      </c>
    </row>
    <row r="144" spans="1:7" ht="15.75" customHeight="1" x14ac:dyDescent="0.3">
      <c r="A144" s="2" t="s">
        <v>282</v>
      </c>
      <c r="B144" s="2" t="s">
        <v>20</v>
      </c>
      <c r="C144" s="2" t="s">
        <v>24</v>
      </c>
      <c r="D144" s="2" t="s">
        <v>283</v>
      </c>
      <c r="E144" s="2">
        <v>1055003</v>
      </c>
      <c r="F144" s="2">
        <v>1685018</v>
      </c>
      <c r="G144" s="2" t="s">
        <v>11</v>
      </c>
    </row>
    <row r="145" spans="1:7" ht="15.75" customHeight="1" x14ac:dyDescent="0.3">
      <c r="A145" s="2" t="s">
        <v>284</v>
      </c>
      <c r="B145" s="2" t="s">
        <v>20</v>
      </c>
      <c r="C145" s="2" t="s">
        <v>24</v>
      </c>
      <c r="D145" s="2" t="s">
        <v>69</v>
      </c>
      <c r="E145" s="2">
        <v>1657611</v>
      </c>
      <c r="F145" s="2">
        <v>457422</v>
      </c>
      <c r="G145" s="2" t="s">
        <v>15</v>
      </c>
    </row>
    <row r="146" spans="1:7" ht="15.75" customHeight="1" x14ac:dyDescent="0.3">
      <c r="A146" s="2" t="s">
        <v>285</v>
      </c>
      <c r="B146" s="2" t="s">
        <v>42</v>
      </c>
      <c r="C146" s="2" t="s">
        <v>56</v>
      </c>
      <c r="D146" s="2" t="s">
        <v>286</v>
      </c>
      <c r="E146" s="2">
        <v>1945716</v>
      </c>
      <c r="F146" s="2">
        <v>1545312</v>
      </c>
      <c r="G146" s="2" t="s">
        <v>22</v>
      </c>
    </row>
    <row r="147" spans="1:7" ht="15.75" customHeight="1" x14ac:dyDescent="0.3">
      <c r="A147" s="2" t="s">
        <v>287</v>
      </c>
      <c r="B147" s="2" t="s">
        <v>17</v>
      </c>
      <c r="C147" s="2" t="s">
        <v>24</v>
      </c>
      <c r="D147" s="2" t="s">
        <v>288</v>
      </c>
      <c r="E147" s="2">
        <v>1104199</v>
      </c>
      <c r="F147" s="2">
        <v>1782593</v>
      </c>
      <c r="G147" s="2" t="s">
        <v>29</v>
      </c>
    </row>
    <row r="148" spans="1:7" ht="15.75" customHeight="1" x14ac:dyDescent="0.3">
      <c r="A148" s="2" t="s">
        <v>289</v>
      </c>
      <c r="B148" s="2" t="s">
        <v>8</v>
      </c>
      <c r="C148" s="2" t="s">
        <v>24</v>
      </c>
      <c r="D148" s="2" t="s">
        <v>290</v>
      </c>
      <c r="E148" s="2">
        <v>1054811</v>
      </c>
      <c r="F148" s="2">
        <v>1952195</v>
      </c>
      <c r="G148" s="2" t="s">
        <v>11</v>
      </c>
    </row>
    <row r="149" spans="1:7" ht="15.75" customHeight="1" x14ac:dyDescent="0.3">
      <c r="A149" s="2" t="s">
        <v>291</v>
      </c>
      <c r="B149" s="2" t="s">
        <v>42</v>
      </c>
      <c r="C149" s="2" t="s">
        <v>9</v>
      </c>
      <c r="D149" s="2" t="s">
        <v>292</v>
      </c>
      <c r="E149" s="2">
        <v>1642030</v>
      </c>
      <c r="F149" s="2">
        <v>771459</v>
      </c>
      <c r="G149" s="2" t="s">
        <v>11</v>
      </c>
    </row>
    <row r="150" spans="1:7" ht="15.75" customHeight="1" x14ac:dyDescent="0.3">
      <c r="A150" s="2" t="s">
        <v>293</v>
      </c>
      <c r="B150" s="2" t="s">
        <v>49</v>
      </c>
      <c r="C150" s="2" t="s">
        <v>24</v>
      </c>
      <c r="D150" s="2" t="s">
        <v>294</v>
      </c>
      <c r="E150" s="2">
        <v>649757</v>
      </c>
      <c r="F150" s="2">
        <v>425070</v>
      </c>
      <c r="G150" s="2" t="s">
        <v>22</v>
      </c>
    </row>
    <row r="151" spans="1:7" ht="15.75" customHeight="1" x14ac:dyDescent="0.3">
      <c r="A151" s="2" t="s">
        <v>295</v>
      </c>
      <c r="B151" s="2" t="s">
        <v>49</v>
      </c>
      <c r="C151" s="2" t="s">
        <v>56</v>
      </c>
      <c r="D151" s="2" t="s">
        <v>296</v>
      </c>
      <c r="E151" s="2">
        <v>760788</v>
      </c>
      <c r="F151" s="2">
        <v>1282930</v>
      </c>
      <c r="G151" s="2" t="s">
        <v>22</v>
      </c>
    </row>
    <row r="152" spans="1:7" ht="15.75" customHeight="1" x14ac:dyDescent="0.3">
      <c r="A152" s="2" t="s">
        <v>297</v>
      </c>
      <c r="B152" s="2" t="s">
        <v>42</v>
      </c>
      <c r="C152" s="2" t="s">
        <v>31</v>
      </c>
      <c r="D152" s="2" t="s">
        <v>61</v>
      </c>
      <c r="E152" s="2">
        <v>1549566</v>
      </c>
      <c r="F152" s="2">
        <v>1432423</v>
      </c>
      <c r="G152" s="2" t="s">
        <v>29</v>
      </c>
    </row>
    <row r="153" spans="1:7" ht="15.75" customHeight="1" x14ac:dyDescent="0.3">
      <c r="A153" s="2" t="s">
        <v>298</v>
      </c>
      <c r="B153" s="2" t="s">
        <v>8</v>
      </c>
      <c r="C153" s="2" t="s">
        <v>13</v>
      </c>
      <c r="D153" s="2" t="s">
        <v>299</v>
      </c>
      <c r="E153" s="2">
        <v>583594</v>
      </c>
      <c r="F153" s="2">
        <v>2165254</v>
      </c>
      <c r="G153" s="2" t="s">
        <v>22</v>
      </c>
    </row>
    <row r="154" spans="1:7" ht="15.75" customHeight="1" x14ac:dyDescent="0.3">
      <c r="A154" s="2" t="s">
        <v>300</v>
      </c>
      <c r="B154" s="2" t="s">
        <v>49</v>
      </c>
      <c r="C154" s="2" t="s">
        <v>9</v>
      </c>
      <c r="D154" s="2" t="s">
        <v>301</v>
      </c>
      <c r="E154" s="2">
        <v>691526</v>
      </c>
      <c r="F154" s="2">
        <v>780089</v>
      </c>
      <c r="G154" s="2" t="s">
        <v>15</v>
      </c>
    </row>
    <row r="155" spans="1:7" ht="15.75" customHeight="1" x14ac:dyDescent="0.3">
      <c r="A155" s="2" t="s">
        <v>302</v>
      </c>
      <c r="B155" s="2" t="s">
        <v>49</v>
      </c>
      <c r="C155" s="2" t="s">
        <v>13</v>
      </c>
      <c r="D155" s="2" t="s">
        <v>303</v>
      </c>
      <c r="E155" s="2">
        <v>584371</v>
      </c>
      <c r="F155" s="2">
        <v>1900355</v>
      </c>
      <c r="G155" s="2" t="s">
        <v>29</v>
      </c>
    </row>
    <row r="156" spans="1:7" ht="15.75" customHeight="1" x14ac:dyDescent="0.3">
      <c r="A156" s="2" t="s">
        <v>304</v>
      </c>
      <c r="B156" s="2" t="s">
        <v>34</v>
      </c>
      <c r="C156" s="2" t="s">
        <v>31</v>
      </c>
      <c r="D156" s="2" t="s">
        <v>305</v>
      </c>
      <c r="E156" s="2">
        <v>880610</v>
      </c>
      <c r="F156" s="2">
        <v>1527525</v>
      </c>
      <c r="G156" s="2" t="s">
        <v>29</v>
      </c>
    </row>
    <row r="157" spans="1:7" ht="15.75" customHeight="1" x14ac:dyDescent="0.3">
      <c r="A157" s="2" t="s">
        <v>306</v>
      </c>
      <c r="B157" s="2" t="s">
        <v>8</v>
      </c>
      <c r="C157" s="2" t="s">
        <v>56</v>
      </c>
      <c r="D157" s="2" t="s">
        <v>307</v>
      </c>
      <c r="E157" s="2">
        <v>1229727</v>
      </c>
      <c r="F157" s="2">
        <v>1156368</v>
      </c>
      <c r="G157" s="2" t="s">
        <v>22</v>
      </c>
    </row>
    <row r="158" spans="1:7" ht="15.75" customHeight="1" x14ac:dyDescent="0.3">
      <c r="A158" s="2" t="s">
        <v>308</v>
      </c>
      <c r="B158" s="2" t="s">
        <v>8</v>
      </c>
      <c r="C158" s="2" t="s">
        <v>24</v>
      </c>
      <c r="D158" s="2" t="s">
        <v>205</v>
      </c>
      <c r="E158" s="2">
        <v>1191648</v>
      </c>
      <c r="F158" s="2">
        <v>1163282</v>
      </c>
      <c r="G158" s="2" t="s">
        <v>29</v>
      </c>
    </row>
    <row r="159" spans="1:7" ht="15.75" customHeight="1" x14ac:dyDescent="0.3">
      <c r="A159" s="2" t="s">
        <v>309</v>
      </c>
      <c r="B159" s="2" t="s">
        <v>49</v>
      </c>
      <c r="C159" s="2" t="s">
        <v>56</v>
      </c>
      <c r="D159" s="2" t="s">
        <v>310</v>
      </c>
      <c r="E159" s="2">
        <v>1653636</v>
      </c>
      <c r="F159" s="2">
        <v>376959</v>
      </c>
      <c r="G159" s="2" t="s">
        <v>15</v>
      </c>
    </row>
    <row r="160" spans="1:7" ht="15.75" customHeight="1" x14ac:dyDescent="0.3">
      <c r="A160" s="2" t="s">
        <v>311</v>
      </c>
      <c r="B160" s="2" t="s">
        <v>37</v>
      </c>
      <c r="C160" s="2" t="s">
        <v>31</v>
      </c>
      <c r="D160" s="2" t="s">
        <v>312</v>
      </c>
      <c r="E160" s="2">
        <v>1177954</v>
      </c>
      <c r="F160" s="2">
        <v>543105</v>
      </c>
      <c r="G160" s="2" t="s">
        <v>15</v>
      </c>
    </row>
    <row r="161" spans="1:7" ht="15.75" customHeight="1" x14ac:dyDescent="0.3">
      <c r="A161" s="2" t="s">
        <v>313</v>
      </c>
      <c r="B161" s="2" t="s">
        <v>34</v>
      </c>
      <c r="C161" s="2" t="s">
        <v>56</v>
      </c>
      <c r="D161" s="2" t="s">
        <v>314</v>
      </c>
      <c r="E161" s="2">
        <v>613674</v>
      </c>
      <c r="F161" s="2">
        <v>693389</v>
      </c>
      <c r="G161" s="2" t="s">
        <v>22</v>
      </c>
    </row>
    <row r="162" spans="1:7" ht="15.75" customHeight="1" x14ac:dyDescent="0.3">
      <c r="A162" s="2" t="s">
        <v>315</v>
      </c>
      <c r="B162" s="2" t="s">
        <v>34</v>
      </c>
      <c r="C162" s="2" t="s">
        <v>56</v>
      </c>
      <c r="D162" s="2" t="s">
        <v>45</v>
      </c>
      <c r="E162" s="2">
        <v>608237</v>
      </c>
      <c r="F162" s="2">
        <v>726892</v>
      </c>
      <c r="G162" s="2" t="s">
        <v>11</v>
      </c>
    </row>
    <row r="163" spans="1:7" ht="15.75" customHeight="1" x14ac:dyDescent="0.3">
      <c r="A163" s="2" t="s">
        <v>316</v>
      </c>
      <c r="B163" s="2" t="s">
        <v>49</v>
      </c>
      <c r="C163" s="2" t="s">
        <v>56</v>
      </c>
      <c r="D163" s="2" t="s">
        <v>193</v>
      </c>
      <c r="E163" s="2">
        <v>1964336</v>
      </c>
      <c r="F163" s="2">
        <v>1316514</v>
      </c>
      <c r="G163" s="2" t="s">
        <v>15</v>
      </c>
    </row>
    <row r="164" spans="1:7" ht="15.75" customHeight="1" x14ac:dyDescent="0.3">
      <c r="A164" s="2" t="s">
        <v>317</v>
      </c>
      <c r="B164" s="2" t="s">
        <v>20</v>
      </c>
      <c r="C164" s="2" t="s">
        <v>24</v>
      </c>
      <c r="D164" s="2" t="s">
        <v>108</v>
      </c>
      <c r="E164" s="2">
        <v>1151690</v>
      </c>
      <c r="F164" s="2">
        <v>1455193</v>
      </c>
      <c r="G164" s="2" t="s">
        <v>29</v>
      </c>
    </row>
    <row r="165" spans="1:7" ht="15.75" customHeight="1" x14ac:dyDescent="0.3">
      <c r="A165" s="2" t="s">
        <v>318</v>
      </c>
      <c r="B165" s="2" t="s">
        <v>8</v>
      </c>
      <c r="C165" s="2" t="s">
        <v>24</v>
      </c>
      <c r="D165" s="2" t="s">
        <v>319</v>
      </c>
      <c r="E165" s="2">
        <v>737945</v>
      </c>
      <c r="F165" s="2">
        <v>1267726</v>
      </c>
      <c r="G165" s="2" t="s">
        <v>11</v>
      </c>
    </row>
    <row r="166" spans="1:7" ht="15.75" customHeight="1" x14ac:dyDescent="0.3">
      <c r="A166" s="2" t="s">
        <v>320</v>
      </c>
      <c r="B166" s="2" t="s">
        <v>34</v>
      </c>
      <c r="C166" s="2" t="s">
        <v>31</v>
      </c>
      <c r="D166" s="2" t="s">
        <v>321</v>
      </c>
      <c r="E166" s="2">
        <v>1567181</v>
      </c>
      <c r="F166" s="2">
        <v>1779355</v>
      </c>
      <c r="G166" s="2" t="s">
        <v>29</v>
      </c>
    </row>
    <row r="167" spans="1:7" ht="15.75" customHeight="1" x14ac:dyDescent="0.3">
      <c r="A167" s="2" t="s">
        <v>322</v>
      </c>
      <c r="B167" s="2" t="s">
        <v>34</v>
      </c>
      <c r="C167" s="2" t="s">
        <v>56</v>
      </c>
      <c r="D167" s="2" t="s">
        <v>323</v>
      </c>
      <c r="E167" s="2">
        <v>1011140</v>
      </c>
      <c r="F167" s="2">
        <v>1257950</v>
      </c>
      <c r="G167" s="2" t="s">
        <v>11</v>
      </c>
    </row>
    <row r="168" spans="1:7" ht="15.75" customHeight="1" x14ac:dyDescent="0.3">
      <c r="A168" s="2" t="s">
        <v>324</v>
      </c>
      <c r="B168" s="2" t="s">
        <v>42</v>
      </c>
      <c r="C168" s="2" t="s">
        <v>24</v>
      </c>
      <c r="D168" s="2" t="s">
        <v>220</v>
      </c>
      <c r="E168" s="2">
        <v>1756985</v>
      </c>
      <c r="F168" s="2">
        <v>1365858</v>
      </c>
      <c r="G168" s="2" t="s">
        <v>15</v>
      </c>
    </row>
    <row r="169" spans="1:7" ht="15.75" customHeight="1" x14ac:dyDescent="0.3">
      <c r="A169" s="2" t="s">
        <v>325</v>
      </c>
      <c r="B169" s="2" t="s">
        <v>49</v>
      </c>
      <c r="C169" s="2" t="s">
        <v>56</v>
      </c>
      <c r="D169" s="2" t="s">
        <v>326</v>
      </c>
      <c r="E169" s="2">
        <v>1212770</v>
      </c>
      <c r="F169" s="2">
        <v>1951963</v>
      </c>
      <c r="G169" s="2" t="s">
        <v>22</v>
      </c>
    </row>
    <row r="170" spans="1:7" ht="15.75" customHeight="1" x14ac:dyDescent="0.3">
      <c r="A170" s="2" t="s">
        <v>327</v>
      </c>
      <c r="B170" s="2" t="s">
        <v>17</v>
      </c>
      <c r="C170" s="2" t="s">
        <v>31</v>
      </c>
      <c r="D170" s="2" t="s">
        <v>328</v>
      </c>
      <c r="E170" s="2">
        <v>1126116</v>
      </c>
      <c r="F170" s="2">
        <v>2056314</v>
      </c>
      <c r="G170" s="2" t="s">
        <v>29</v>
      </c>
    </row>
    <row r="171" spans="1:7" ht="15.75" customHeight="1" x14ac:dyDescent="0.3">
      <c r="A171" s="2" t="s">
        <v>329</v>
      </c>
      <c r="B171" s="2" t="s">
        <v>27</v>
      </c>
      <c r="C171" s="2" t="s">
        <v>56</v>
      </c>
      <c r="D171" s="2" t="s">
        <v>166</v>
      </c>
      <c r="E171" s="2">
        <v>1629485</v>
      </c>
      <c r="F171" s="2">
        <v>1315737</v>
      </c>
      <c r="G171" s="2" t="s">
        <v>22</v>
      </c>
    </row>
    <row r="172" spans="1:7" ht="15.75" customHeight="1" x14ac:dyDescent="0.3">
      <c r="A172" s="2" t="s">
        <v>330</v>
      </c>
      <c r="B172" s="2" t="s">
        <v>42</v>
      </c>
      <c r="C172" s="2" t="s">
        <v>56</v>
      </c>
      <c r="D172" s="2" t="s">
        <v>331</v>
      </c>
      <c r="E172" s="2">
        <v>1174816</v>
      </c>
      <c r="F172" s="2">
        <v>2123686</v>
      </c>
      <c r="G172" s="2" t="s">
        <v>11</v>
      </c>
    </row>
    <row r="173" spans="1:7" ht="15.75" customHeight="1" x14ac:dyDescent="0.3">
      <c r="A173" s="2" t="s">
        <v>332</v>
      </c>
      <c r="B173" s="2" t="s">
        <v>42</v>
      </c>
      <c r="C173" s="2" t="s">
        <v>24</v>
      </c>
      <c r="D173" s="2" t="s">
        <v>333</v>
      </c>
      <c r="E173" s="2">
        <v>1361457</v>
      </c>
      <c r="F173" s="2">
        <v>391535</v>
      </c>
      <c r="G173" s="2" t="s">
        <v>29</v>
      </c>
    </row>
    <row r="174" spans="1:7" ht="15.75" customHeight="1" x14ac:dyDescent="0.3">
      <c r="A174" s="2" t="s">
        <v>334</v>
      </c>
      <c r="B174" s="2" t="s">
        <v>42</v>
      </c>
      <c r="C174" s="2" t="s">
        <v>56</v>
      </c>
      <c r="D174" s="2" t="s">
        <v>228</v>
      </c>
      <c r="E174" s="2">
        <v>1891856</v>
      </c>
      <c r="F174" s="2">
        <v>1961769</v>
      </c>
      <c r="G174" s="2" t="s">
        <v>11</v>
      </c>
    </row>
    <row r="175" spans="1:7" ht="15.75" customHeight="1" x14ac:dyDescent="0.3">
      <c r="A175" s="2" t="s">
        <v>335</v>
      </c>
      <c r="B175" s="2" t="s">
        <v>34</v>
      </c>
      <c r="C175" s="2" t="s">
        <v>9</v>
      </c>
      <c r="D175" s="2" t="s">
        <v>336</v>
      </c>
      <c r="E175" s="2">
        <v>764757</v>
      </c>
      <c r="F175" s="2">
        <v>1353380</v>
      </c>
      <c r="G175" s="2" t="s">
        <v>22</v>
      </c>
    </row>
    <row r="176" spans="1:7" ht="15.75" customHeight="1" x14ac:dyDescent="0.3">
      <c r="A176" s="2" t="s">
        <v>337</v>
      </c>
      <c r="B176" s="2" t="s">
        <v>8</v>
      </c>
      <c r="C176" s="2" t="s">
        <v>56</v>
      </c>
      <c r="D176" s="2" t="s">
        <v>338</v>
      </c>
      <c r="E176" s="2">
        <v>709110</v>
      </c>
      <c r="F176" s="2">
        <v>1402999</v>
      </c>
      <c r="G176" s="2" t="s">
        <v>15</v>
      </c>
    </row>
    <row r="177" spans="1:7" ht="15.75" customHeight="1" x14ac:dyDescent="0.3">
      <c r="A177" s="2" t="s">
        <v>339</v>
      </c>
      <c r="B177" s="2" t="s">
        <v>27</v>
      </c>
      <c r="C177" s="2" t="s">
        <v>56</v>
      </c>
      <c r="D177" s="2" t="s">
        <v>106</v>
      </c>
      <c r="E177" s="2">
        <v>1873175</v>
      </c>
      <c r="F177" s="2">
        <v>623718</v>
      </c>
      <c r="G177" s="2" t="s">
        <v>29</v>
      </c>
    </row>
    <row r="178" spans="1:7" ht="15.75" customHeight="1" x14ac:dyDescent="0.3">
      <c r="A178" s="2" t="s">
        <v>340</v>
      </c>
      <c r="B178" s="2" t="s">
        <v>49</v>
      </c>
      <c r="C178" s="2" t="s">
        <v>31</v>
      </c>
      <c r="D178" s="2" t="s">
        <v>341</v>
      </c>
      <c r="E178" s="2">
        <v>1807069</v>
      </c>
      <c r="F178" s="2">
        <v>1752706</v>
      </c>
      <c r="G178" s="2" t="s">
        <v>15</v>
      </c>
    </row>
    <row r="179" spans="1:7" ht="15.75" customHeight="1" x14ac:dyDescent="0.3">
      <c r="A179" s="2" t="s">
        <v>342</v>
      </c>
      <c r="B179" s="2" t="s">
        <v>37</v>
      </c>
      <c r="C179" s="2" t="s">
        <v>13</v>
      </c>
      <c r="D179" s="2" t="s">
        <v>290</v>
      </c>
      <c r="E179" s="2">
        <v>1296937</v>
      </c>
      <c r="F179" s="2">
        <v>964086</v>
      </c>
      <c r="G179" s="2" t="s">
        <v>29</v>
      </c>
    </row>
    <row r="180" spans="1:7" ht="15.75" customHeight="1" x14ac:dyDescent="0.3">
      <c r="A180" s="2" t="s">
        <v>343</v>
      </c>
      <c r="B180" s="2" t="s">
        <v>17</v>
      </c>
      <c r="C180" s="2" t="s">
        <v>13</v>
      </c>
      <c r="D180" s="2" t="s">
        <v>344</v>
      </c>
      <c r="E180" s="2">
        <v>643488</v>
      </c>
      <c r="F180" s="2">
        <v>792348</v>
      </c>
      <c r="G180" s="2" t="s">
        <v>22</v>
      </c>
    </row>
    <row r="181" spans="1:7" ht="15.75" customHeight="1" x14ac:dyDescent="0.3">
      <c r="A181" s="2" t="s">
        <v>345</v>
      </c>
      <c r="B181" s="2" t="s">
        <v>20</v>
      </c>
      <c r="C181" s="2" t="s">
        <v>9</v>
      </c>
      <c r="D181" s="2" t="s">
        <v>346</v>
      </c>
      <c r="E181" s="2">
        <v>1410104</v>
      </c>
      <c r="F181" s="2">
        <v>506450</v>
      </c>
      <c r="G181" s="2" t="s">
        <v>15</v>
      </c>
    </row>
    <row r="182" spans="1:7" ht="15.75" customHeight="1" x14ac:dyDescent="0.3">
      <c r="A182" s="2" t="s">
        <v>347</v>
      </c>
      <c r="B182" s="2" t="s">
        <v>34</v>
      </c>
      <c r="C182" s="2" t="s">
        <v>24</v>
      </c>
      <c r="D182" s="2" t="s">
        <v>348</v>
      </c>
      <c r="E182" s="2">
        <v>1955425</v>
      </c>
      <c r="F182" s="2">
        <v>928025</v>
      </c>
      <c r="G182" s="2" t="s">
        <v>15</v>
      </c>
    </row>
    <row r="183" spans="1:7" ht="15.75" customHeight="1" x14ac:dyDescent="0.3">
      <c r="A183" s="2" t="s">
        <v>349</v>
      </c>
      <c r="B183" s="2" t="s">
        <v>37</v>
      </c>
      <c r="C183" s="2" t="s">
        <v>9</v>
      </c>
      <c r="D183" s="2" t="s">
        <v>350</v>
      </c>
      <c r="E183" s="2">
        <v>1115236</v>
      </c>
      <c r="F183" s="2">
        <v>1051752</v>
      </c>
      <c r="G183" s="2" t="s">
        <v>29</v>
      </c>
    </row>
    <row r="184" spans="1:7" ht="15.75" customHeight="1" x14ac:dyDescent="0.3">
      <c r="A184" s="2" t="s">
        <v>351</v>
      </c>
      <c r="B184" s="2" t="s">
        <v>27</v>
      </c>
      <c r="C184" s="2" t="s">
        <v>24</v>
      </c>
      <c r="D184" s="2" t="s">
        <v>352</v>
      </c>
      <c r="E184" s="2">
        <v>1613936</v>
      </c>
      <c r="F184" s="2">
        <v>1164135</v>
      </c>
      <c r="G184" s="2" t="s">
        <v>11</v>
      </c>
    </row>
    <row r="185" spans="1:7" ht="15.75" customHeight="1" x14ac:dyDescent="0.3">
      <c r="A185" s="2" t="s">
        <v>353</v>
      </c>
      <c r="B185" s="2" t="s">
        <v>27</v>
      </c>
      <c r="C185" s="2" t="s">
        <v>24</v>
      </c>
      <c r="D185" s="2" t="s">
        <v>157</v>
      </c>
      <c r="E185" s="2">
        <v>665608</v>
      </c>
      <c r="F185" s="2">
        <v>1578196</v>
      </c>
      <c r="G185" s="2" t="s">
        <v>11</v>
      </c>
    </row>
    <row r="186" spans="1:7" ht="15.75" customHeight="1" x14ac:dyDescent="0.3">
      <c r="A186" s="2" t="s">
        <v>354</v>
      </c>
      <c r="B186" s="2" t="s">
        <v>34</v>
      </c>
      <c r="C186" s="2" t="s">
        <v>13</v>
      </c>
      <c r="D186" s="2" t="s">
        <v>47</v>
      </c>
      <c r="E186" s="2">
        <v>800139</v>
      </c>
      <c r="F186" s="2">
        <v>786934</v>
      </c>
      <c r="G186" s="2" t="s">
        <v>22</v>
      </c>
    </row>
    <row r="187" spans="1:7" ht="15.75" customHeight="1" x14ac:dyDescent="0.3">
      <c r="A187" s="2" t="s">
        <v>355</v>
      </c>
      <c r="B187" s="2" t="s">
        <v>34</v>
      </c>
      <c r="C187" s="2" t="s">
        <v>31</v>
      </c>
      <c r="D187" s="2" t="s">
        <v>356</v>
      </c>
      <c r="E187" s="2">
        <v>1898466</v>
      </c>
      <c r="F187" s="2">
        <v>319707</v>
      </c>
      <c r="G187" s="2" t="s">
        <v>22</v>
      </c>
    </row>
    <row r="188" spans="1:7" ht="15.75" customHeight="1" x14ac:dyDescent="0.3">
      <c r="A188" s="2" t="s">
        <v>357</v>
      </c>
      <c r="B188" s="2" t="s">
        <v>27</v>
      </c>
      <c r="C188" s="2" t="s">
        <v>9</v>
      </c>
      <c r="D188" s="2" t="s">
        <v>328</v>
      </c>
      <c r="E188" s="2">
        <v>1426374</v>
      </c>
      <c r="F188" s="2">
        <v>1024703</v>
      </c>
      <c r="G188" s="2" t="s">
        <v>22</v>
      </c>
    </row>
    <row r="189" spans="1:7" ht="15.75" customHeight="1" x14ac:dyDescent="0.3">
      <c r="A189" s="2" t="s">
        <v>358</v>
      </c>
      <c r="B189" s="2" t="s">
        <v>42</v>
      </c>
      <c r="C189" s="2" t="s">
        <v>31</v>
      </c>
      <c r="D189" s="2" t="s">
        <v>359</v>
      </c>
      <c r="E189" s="2">
        <v>1458054</v>
      </c>
      <c r="F189" s="2">
        <v>2072730</v>
      </c>
      <c r="G189" s="2" t="s">
        <v>11</v>
      </c>
    </row>
    <row r="190" spans="1:7" ht="15.75" customHeight="1" x14ac:dyDescent="0.3">
      <c r="A190" s="2" t="s">
        <v>360</v>
      </c>
      <c r="B190" s="2" t="s">
        <v>42</v>
      </c>
      <c r="C190" s="2" t="s">
        <v>56</v>
      </c>
      <c r="D190" s="2" t="s">
        <v>157</v>
      </c>
      <c r="E190" s="2">
        <v>723668</v>
      </c>
      <c r="F190" s="2">
        <v>797456</v>
      </c>
      <c r="G190" s="2" t="s">
        <v>22</v>
      </c>
    </row>
    <row r="191" spans="1:7" ht="15.75" customHeight="1" x14ac:dyDescent="0.3">
      <c r="A191" s="2" t="s">
        <v>361</v>
      </c>
      <c r="B191" s="2" t="s">
        <v>49</v>
      </c>
      <c r="C191" s="2" t="s">
        <v>31</v>
      </c>
      <c r="D191" s="2" t="s">
        <v>81</v>
      </c>
      <c r="E191" s="2">
        <v>546010</v>
      </c>
      <c r="F191" s="2">
        <v>2040714</v>
      </c>
      <c r="G191" s="2" t="s">
        <v>29</v>
      </c>
    </row>
    <row r="192" spans="1:7" ht="15.75" customHeight="1" x14ac:dyDescent="0.3">
      <c r="A192" s="2" t="s">
        <v>362</v>
      </c>
      <c r="B192" s="2" t="s">
        <v>49</v>
      </c>
      <c r="C192" s="2" t="s">
        <v>9</v>
      </c>
      <c r="D192" s="2" t="s">
        <v>363</v>
      </c>
      <c r="E192" s="2">
        <v>1686839</v>
      </c>
      <c r="F192" s="2">
        <v>2114177</v>
      </c>
      <c r="G192" s="2" t="s">
        <v>15</v>
      </c>
    </row>
    <row r="193" spans="1:7" ht="15.75" customHeight="1" x14ac:dyDescent="0.3">
      <c r="A193" s="2" t="s">
        <v>364</v>
      </c>
      <c r="B193" s="2" t="s">
        <v>34</v>
      </c>
      <c r="C193" s="2" t="s">
        <v>31</v>
      </c>
      <c r="D193" s="2" t="s">
        <v>365</v>
      </c>
      <c r="E193" s="2">
        <v>982593</v>
      </c>
      <c r="F193" s="2">
        <v>1573107</v>
      </c>
      <c r="G193" s="2" t="s">
        <v>11</v>
      </c>
    </row>
    <row r="194" spans="1:7" ht="15.75" customHeight="1" x14ac:dyDescent="0.3">
      <c r="A194" s="2" t="s">
        <v>366</v>
      </c>
      <c r="B194" s="2" t="s">
        <v>20</v>
      </c>
      <c r="C194" s="2" t="s">
        <v>13</v>
      </c>
      <c r="D194" s="2" t="s">
        <v>81</v>
      </c>
      <c r="E194" s="2">
        <v>1025602</v>
      </c>
      <c r="F194" s="2">
        <v>1721375</v>
      </c>
      <c r="G194" s="2" t="s">
        <v>11</v>
      </c>
    </row>
    <row r="195" spans="1:7" ht="15.75" customHeight="1" x14ac:dyDescent="0.3">
      <c r="A195" s="2" t="s">
        <v>367</v>
      </c>
      <c r="B195" s="2" t="s">
        <v>8</v>
      </c>
      <c r="C195" s="2" t="s">
        <v>9</v>
      </c>
      <c r="D195" s="2" t="s">
        <v>368</v>
      </c>
      <c r="E195" s="2">
        <v>1147879</v>
      </c>
      <c r="F195" s="2">
        <v>1953836</v>
      </c>
      <c r="G195" s="2" t="s">
        <v>15</v>
      </c>
    </row>
    <row r="196" spans="1:7" ht="15.75" customHeight="1" x14ac:dyDescent="0.3">
      <c r="A196" s="2" t="s">
        <v>369</v>
      </c>
      <c r="B196" s="2" t="s">
        <v>37</v>
      </c>
      <c r="C196" s="2" t="s">
        <v>24</v>
      </c>
      <c r="D196" s="2" t="s">
        <v>222</v>
      </c>
      <c r="E196" s="2">
        <v>689023</v>
      </c>
      <c r="F196" s="2">
        <v>918891</v>
      </c>
      <c r="G196" s="2" t="s">
        <v>29</v>
      </c>
    </row>
    <row r="197" spans="1:7" ht="15.75" customHeight="1" x14ac:dyDescent="0.3">
      <c r="A197" s="2" t="s">
        <v>370</v>
      </c>
      <c r="B197" s="2" t="s">
        <v>27</v>
      </c>
      <c r="C197" s="2" t="s">
        <v>24</v>
      </c>
      <c r="D197" s="2" t="s">
        <v>203</v>
      </c>
      <c r="E197" s="2">
        <v>777159</v>
      </c>
      <c r="F197" s="2">
        <v>1949436</v>
      </c>
      <c r="G197" s="2" t="s">
        <v>22</v>
      </c>
    </row>
    <row r="198" spans="1:7" ht="15.75" customHeight="1" x14ac:dyDescent="0.3">
      <c r="A198" s="2" t="s">
        <v>371</v>
      </c>
      <c r="B198" s="2" t="s">
        <v>49</v>
      </c>
      <c r="C198" s="2" t="s">
        <v>24</v>
      </c>
      <c r="D198" s="2" t="s">
        <v>110</v>
      </c>
      <c r="E198" s="2">
        <v>1038905</v>
      </c>
      <c r="F198" s="2">
        <v>2029499</v>
      </c>
      <c r="G198" s="2" t="s">
        <v>22</v>
      </c>
    </row>
    <row r="199" spans="1:7" ht="15.75" customHeight="1" x14ac:dyDescent="0.3">
      <c r="A199" s="2" t="s">
        <v>372</v>
      </c>
      <c r="B199" s="2" t="s">
        <v>37</v>
      </c>
      <c r="C199" s="2" t="s">
        <v>9</v>
      </c>
      <c r="D199" s="2" t="s">
        <v>373</v>
      </c>
      <c r="E199" s="2">
        <v>1482162</v>
      </c>
      <c r="F199" s="2">
        <v>457914</v>
      </c>
      <c r="G199" s="2" t="s">
        <v>11</v>
      </c>
    </row>
    <row r="200" spans="1:7" ht="15.75" customHeight="1" x14ac:dyDescent="0.3">
      <c r="A200" s="2" t="s">
        <v>374</v>
      </c>
      <c r="B200" s="2" t="s">
        <v>42</v>
      </c>
      <c r="C200" s="2" t="s">
        <v>13</v>
      </c>
      <c r="D200" s="2" t="s">
        <v>375</v>
      </c>
      <c r="E200" s="2">
        <v>1267085</v>
      </c>
      <c r="F200" s="2">
        <v>489378</v>
      </c>
      <c r="G200" s="2" t="s">
        <v>15</v>
      </c>
    </row>
    <row r="201" spans="1:7" ht="15.75" customHeight="1" x14ac:dyDescent="0.3">
      <c r="A201" s="2" t="s">
        <v>376</v>
      </c>
      <c r="B201" s="2" t="s">
        <v>49</v>
      </c>
      <c r="C201" s="2" t="s">
        <v>13</v>
      </c>
      <c r="D201" s="2" t="s">
        <v>377</v>
      </c>
      <c r="E201" s="2">
        <v>759184</v>
      </c>
      <c r="F201" s="2">
        <v>1253755</v>
      </c>
      <c r="G201" s="2" t="s">
        <v>22</v>
      </c>
    </row>
    <row r="202" spans="1:7" ht="15.75" customHeight="1" x14ac:dyDescent="0.3">
      <c r="A202" s="2" t="s">
        <v>378</v>
      </c>
      <c r="B202" s="2" t="s">
        <v>42</v>
      </c>
      <c r="C202" s="2" t="s">
        <v>31</v>
      </c>
      <c r="D202" s="2" t="s">
        <v>40</v>
      </c>
      <c r="E202" s="2">
        <v>727218</v>
      </c>
      <c r="F202" s="2">
        <v>1715234</v>
      </c>
      <c r="G202" s="2" t="s">
        <v>29</v>
      </c>
    </row>
    <row r="203" spans="1:7" ht="15.75" customHeight="1" x14ac:dyDescent="0.3">
      <c r="A203" s="2" t="s">
        <v>379</v>
      </c>
      <c r="B203" s="2" t="s">
        <v>17</v>
      </c>
      <c r="C203" s="2" t="s">
        <v>13</v>
      </c>
      <c r="D203" s="2" t="s">
        <v>281</v>
      </c>
      <c r="E203" s="2">
        <v>1677356</v>
      </c>
      <c r="F203" s="2">
        <v>987879</v>
      </c>
      <c r="G203" s="2" t="s">
        <v>11</v>
      </c>
    </row>
    <row r="204" spans="1:7" ht="15.75" customHeight="1" x14ac:dyDescent="0.3">
      <c r="A204" s="2" t="s">
        <v>380</v>
      </c>
      <c r="B204" s="2" t="s">
        <v>8</v>
      </c>
      <c r="C204" s="2" t="s">
        <v>56</v>
      </c>
      <c r="D204" s="2" t="s">
        <v>381</v>
      </c>
      <c r="E204" s="2">
        <v>1970265</v>
      </c>
      <c r="F204" s="2">
        <v>933738</v>
      </c>
      <c r="G204" s="2" t="s">
        <v>29</v>
      </c>
    </row>
    <row r="205" spans="1:7" ht="15.75" customHeight="1" x14ac:dyDescent="0.3">
      <c r="A205" s="2" t="s">
        <v>382</v>
      </c>
      <c r="B205" s="2" t="s">
        <v>8</v>
      </c>
      <c r="C205" s="2" t="s">
        <v>24</v>
      </c>
      <c r="D205" s="2" t="s">
        <v>383</v>
      </c>
      <c r="E205" s="2">
        <v>595099</v>
      </c>
      <c r="F205" s="2">
        <v>378039</v>
      </c>
      <c r="G205" s="2" t="s">
        <v>29</v>
      </c>
    </row>
    <row r="206" spans="1:7" ht="15.75" customHeight="1" x14ac:dyDescent="0.3">
      <c r="A206" s="2" t="s">
        <v>384</v>
      </c>
      <c r="B206" s="2" t="s">
        <v>8</v>
      </c>
      <c r="C206" s="2" t="s">
        <v>9</v>
      </c>
      <c r="D206" s="2" t="s">
        <v>385</v>
      </c>
      <c r="E206" s="2">
        <v>992411</v>
      </c>
      <c r="F206" s="2">
        <v>2160717</v>
      </c>
      <c r="G206" s="2" t="s">
        <v>11</v>
      </c>
    </row>
    <row r="207" spans="1:7" ht="15.75" customHeight="1" x14ac:dyDescent="0.3">
      <c r="A207" s="2" t="s">
        <v>386</v>
      </c>
      <c r="B207" s="2" t="s">
        <v>42</v>
      </c>
      <c r="C207" s="2" t="s">
        <v>56</v>
      </c>
      <c r="D207" s="2" t="s">
        <v>114</v>
      </c>
      <c r="E207" s="2">
        <v>1278067</v>
      </c>
      <c r="F207" s="2">
        <v>1706111</v>
      </c>
      <c r="G207" s="2" t="s">
        <v>29</v>
      </c>
    </row>
    <row r="208" spans="1:7" ht="15.75" customHeight="1" x14ac:dyDescent="0.3">
      <c r="A208" s="2" t="s">
        <v>387</v>
      </c>
      <c r="B208" s="2" t="s">
        <v>27</v>
      </c>
      <c r="C208" s="2" t="s">
        <v>56</v>
      </c>
      <c r="D208" s="2" t="s">
        <v>241</v>
      </c>
      <c r="E208" s="2">
        <v>1873470</v>
      </c>
      <c r="F208" s="2">
        <v>507663</v>
      </c>
      <c r="G208" s="2" t="s">
        <v>29</v>
      </c>
    </row>
    <row r="209" spans="1:7" ht="15.75" customHeight="1" x14ac:dyDescent="0.3">
      <c r="A209" s="2" t="s">
        <v>388</v>
      </c>
      <c r="B209" s="2" t="s">
        <v>49</v>
      </c>
      <c r="C209" s="2" t="s">
        <v>9</v>
      </c>
      <c r="D209" s="2" t="s">
        <v>389</v>
      </c>
      <c r="E209" s="2">
        <v>1947623</v>
      </c>
      <c r="F209" s="2">
        <v>1077057</v>
      </c>
      <c r="G209" s="2" t="s">
        <v>29</v>
      </c>
    </row>
    <row r="210" spans="1:7" ht="15.75" customHeight="1" x14ac:dyDescent="0.3">
      <c r="A210" s="2" t="s">
        <v>390</v>
      </c>
      <c r="B210" s="2" t="s">
        <v>34</v>
      </c>
      <c r="C210" s="2" t="s">
        <v>24</v>
      </c>
      <c r="D210" s="2" t="s">
        <v>363</v>
      </c>
      <c r="E210" s="2">
        <v>1260607</v>
      </c>
      <c r="F210" s="2">
        <v>508361</v>
      </c>
      <c r="G210" s="2" t="s">
        <v>22</v>
      </c>
    </row>
    <row r="211" spans="1:7" ht="15.75" customHeight="1" x14ac:dyDescent="0.3">
      <c r="A211" s="2" t="s">
        <v>391</v>
      </c>
      <c r="B211" s="2" t="s">
        <v>37</v>
      </c>
      <c r="C211" s="2" t="s">
        <v>9</v>
      </c>
      <c r="D211" s="2" t="s">
        <v>392</v>
      </c>
      <c r="E211" s="2">
        <v>1334959</v>
      </c>
      <c r="F211" s="2">
        <v>878565</v>
      </c>
      <c r="G211" s="2" t="s">
        <v>15</v>
      </c>
    </row>
    <row r="212" spans="1:7" ht="15.75" customHeight="1" x14ac:dyDescent="0.3">
      <c r="A212" s="2" t="s">
        <v>393</v>
      </c>
      <c r="B212" s="2" t="s">
        <v>34</v>
      </c>
      <c r="C212" s="2" t="s">
        <v>9</v>
      </c>
      <c r="D212" s="2" t="s">
        <v>394</v>
      </c>
      <c r="E212" s="2">
        <v>1889926</v>
      </c>
      <c r="F212" s="2">
        <v>744818</v>
      </c>
      <c r="G212" s="2" t="s">
        <v>15</v>
      </c>
    </row>
    <row r="213" spans="1:7" ht="15.75" customHeight="1" x14ac:dyDescent="0.3">
      <c r="A213" s="2" t="s">
        <v>395</v>
      </c>
      <c r="B213" s="2" t="s">
        <v>17</v>
      </c>
      <c r="C213" s="2" t="s">
        <v>31</v>
      </c>
      <c r="D213" s="2" t="s">
        <v>352</v>
      </c>
      <c r="E213" s="2">
        <v>1010800</v>
      </c>
      <c r="F213" s="2">
        <v>564081</v>
      </c>
      <c r="G213" s="2" t="s">
        <v>11</v>
      </c>
    </row>
    <row r="214" spans="1:7" ht="15.75" customHeight="1" x14ac:dyDescent="0.3">
      <c r="A214" s="2" t="s">
        <v>396</v>
      </c>
      <c r="B214" s="2" t="s">
        <v>8</v>
      </c>
      <c r="C214" s="2" t="s">
        <v>13</v>
      </c>
      <c r="D214" s="2" t="s">
        <v>397</v>
      </c>
      <c r="E214" s="2">
        <v>934440</v>
      </c>
      <c r="F214" s="2">
        <v>1529734</v>
      </c>
      <c r="G214" s="2" t="s">
        <v>11</v>
      </c>
    </row>
    <row r="215" spans="1:7" ht="15.75" customHeight="1" x14ac:dyDescent="0.3">
      <c r="A215" s="2" t="s">
        <v>398</v>
      </c>
      <c r="B215" s="2" t="s">
        <v>37</v>
      </c>
      <c r="C215" s="2" t="s">
        <v>24</v>
      </c>
      <c r="D215" s="2" t="s">
        <v>253</v>
      </c>
      <c r="E215" s="2">
        <v>1749864</v>
      </c>
      <c r="F215" s="2">
        <v>305946</v>
      </c>
      <c r="G215" s="2" t="s">
        <v>11</v>
      </c>
    </row>
    <row r="216" spans="1:7" ht="15.75" customHeight="1" x14ac:dyDescent="0.3">
      <c r="A216" s="2" t="s">
        <v>399</v>
      </c>
      <c r="B216" s="2" t="s">
        <v>27</v>
      </c>
      <c r="C216" s="2" t="s">
        <v>13</v>
      </c>
      <c r="D216" s="2" t="s">
        <v>303</v>
      </c>
      <c r="E216" s="2">
        <v>1025659</v>
      </c>
      <c r="F216" s="2">
        <v>1974604</v>
      </c>
      <c r="G216" s="2" t="s">
        <v>15</v>
      </c>
    </row>
    <row r="217" spans="1:7" ht="15.75" customHeight="1" x14ac:dyDescent="0.3">
      <c r="A217" s="2" t="s">
        <v>400</v>
      </c>
      <c r="B217" s="2" t="s">
        <v>17</v>
      </c>
      <c r="C217" s="2" t="s">
        <v>24</v>
      </c>
      <c r="D217" s="2" t="s">
        <v>401</v>
      </c>
      <c r="E217" s="2">
        <v>531164</v>
      </c>
      <c r="F217" s="2">
        <v>1051288</v>
      </c>
      <c r="G217" s="2" t="s">
        <v>22</v>
      </c>
    </row>
    <row r="218" spans="1:7" ht="15.75" customHeight="1" x14ac:dyDescent="0.3">
      <c r="A218" s="2" t="s">
        <v>402</v>
      </c>
      <c r="B218" s="2" t="s">
        <v>17</v>
      </c>
      <c r="C218" s="2" t="s">
        <v>24</v>
      </c>
      <c r="D218" s="2" t="s">
        <v>268</v>
      </c>
      <c r="E218" s="2">
        <v>1056516</v>
      </c>
      <c r="F218" s="2">
        <v>409888</v>
      </c>
      <c r="G218" s="2" t="s">
        <v>29</v>
      </c>
    </row>
    <row r="219" spans="1:7" ht="15.75" customHeight="1" x14ac:dyDescent="0.3">
      <c r="A219" s="2" t="s">
        <v>403</v>
      </c>
      <c r="B219" s="2" t="s">
        <v>8</v>
      </c>
      <c r="C219" s="2" t="s">
        <v>9</v>
      </c>
      <c r="D219" s="2" t="s">
        <v>404</v>
      </c>
      <c r="E219" s="2">
        <v>1498760</v>
      </c>
      <c r="F219" s="2">
        <v>1240101</v>
      </c>
      <c r="G219" s="2" t="s">
        <v>15</v>
      </c>
    </row>
    <row r="220" spans="1:7" ht="15.75" customHeight="1" x14ac:dyDescent="0.3">
      <c r="A220" s="2" t="s">
        <v>405</v>
      </c>
      <c r="B220" s="2" t="s">
        <v>34</v>
      </c>
      <c r="C220" s="2" t="s">
        <v>13</v>
      </c>
      <c r="D220" s="2" t="s">
        <v>406</v>
      </c>
      <c r="E220" s="2">
        <v>964623</v>
      </c>
      <c r="F220" s="2">
        <v>1589972</v>
      </c>
      <c r="G220" s="2" t="s">
        <v>22</v>
      </c>
    </row>
    <row r="221" spans="1:7" ht="15.75" customHeight="1" x14ac:dyDescent="0.3">
      <c r="A221" s="2" t="s">
        <v>407</v>
      </c>
      <c r="B221" s="2" t="s">
        <v>34</v>
      </c>
      <c r="C221" s="2" t="s">
        <v>9</v>
      </c>
      <c r="D221" s="2" t="s">
        <v>408</v>
      </c>
      <c r="E221" s="2">
        <v>627560</v>
      </c>
      <c r="F221" s="2">
        <v>1304497</v>
      </c>
      <c r="G221" s="2" t="s">
        <v>29</v>
      </c>
    </row>
    <row r="222" spans="1:7" ht="15.75" customHeight="1" x14ac:dyDescent="0.3">
      <c r="A222" s="2" t="s">
        <v>409</v>
      </c>
      <c r="B222" s="2" t="s">
        <v>8</v>
      </c>
      <c r="C222" s="2" t="s">
        <v>56</v>
      </c>
      <c r="D222" s="2" t="s">
        <v>410</v>
      </c>
      <c r="E222" s="2">
        <v>1994013</v>
      </c>
      <c r="F222" s="2">
        <v>1230217</v>
      </c>
      <c r="G222" s="2" t="s">
        <v>15</v>
      </c>
    </row>
    <row r="223" spans="1:7" ht="15.75" customHeight="1" x14ac:dyDescent="0.3">
      <c r="A223" s="2" t="s">
        <v>411</v>
      </c>
      <c r="B223" s="2" t="s">
        <v>37</v>
      </c>
      <c r="C223" s="2" t="s">
        <v>13</v>
      </c>
      <c r="D223" s="2" t="s">
        <v>268</v>
      </c>
      <c r="E223" s="2">
        <v>811078</v>
      </c>
      <c r="F223" s="2">
        <v>437745</v>
      </c>
      <c r="G223" s="2" t="s">
        <v>22</v>
      </c>
    </row>
    <row r="224" spans="1:7" ht="15.75" customHeight="1" x14ac:dyDescent="0.3">
      <c r="A224" s="2" t="s">
        <v>412</v>
      </c>
      <c r="B224" s="2" t="s">
        <v>37</v>
      </c>
      <c r="C224" s="2" t="s">
        <v>56</v>
      </c>
      <c r="D224" s="2" t="s">
        <v>413</v>
      </c>
      <c r="E224" s="2">
        <v>1752821</v>
      </c>
      <c r="F224" s="2">
        <v>1412658</v>
      </c>
      <c r="G224" s="2" t="s">
        <v>29</v>
      </c>
    </row>
    <row r="225" spans="1:7" ht="15.75" customHeight="1" x14ac:dyDescent="0.3">
      <c r="A225" s="2" t="s">
        <v>414</v>
      </c>
      <c r="B225" s="2" t="s">
        <v>42</v>
      </c>
      <c r="C225" s="2" t="s">
        <v>9</v>
      </c>
      <c r="D225" s="2" t="s">
        <v>54</v>
      </c>
      <c r="E225" s="2">
        <v>1971738</v>
      </c>
      <c r="F225" s="2">
        <v>539943</v>
      </c>
      <c r="G225" s="2" t="s">
        <v>11</v>
      </c>
    </row>
    <row r="226" spans="1:7" ht="15.75" customHeight="1" x14ac:dyDescent="0.3">
      <c r="A226" s="2" t="s">
        <v>415</v>
      </c>
      <c r="B226" s="2" t="s">
        <v>42</v>
      </c>
      <c r="C226" s="2" t="s">
        <v>56</v>
      </c>
      <c r="D226" s="2" t="s">
        <v>89</v>
      </c>
      <c r="E226" s="2">
        <v>979185</v>
      </c>
      <c r="F226" s="2">
        <v>1167829</v>
      </c>
      <c r="G226" s="2" t="s">
        <v>29</v>
      </c>
    </row>
    <row r="227" spans="1:7" ht="15.75" customHeight="1" x14ac:dyDescent="0.3">
      <c r="A227" s="2" t="s">
        <v>416</v>
      </c>
      <c r="B227" s="2" t="s">
        <v>42</v>
      </c>
      <c r="C227" s="2" t="s">
        <v>56</v>
      </c>
      <c r="D227" s="2" t="s">
        <v>417</v>
      </c>
      <c r="E227" s="2">
        <v>699409</v>
      </c>
      <c r="F227" s="2">
        <v>955461</v>
      </c>
      <c r="G227" s="2" t="s">
        <v>22</v>
      </c>
    </row>
    <row r="228" spans="1:7" ht="15.75" customHeight="1" x14ac:dyDescent="0.3">
      <c r="A228" s="2" t="s">
        <v>418</v>
      </c>
      <c r="B228" s="2" t="s">
        <v>49</v>
      </c>
      <c r="C228" s="2" t="s">
        <v>31</v>
      </c>
      <c r="D228" s="2" t="s">
        <v>419</v>
      </c>
      <c r="E228" s="2">
        <v>820107</v>
      </c>
      <c r="F228" s="2">
        <v>1740368</v>
      </c>
      <c r="G228" s="2" t="s">
        <v>15</v>
      </c>
    </row>
    <row r="229" spans="1:7" ht="15.75" customHeight="1" x14ac:dyDescent="0.3">
      <c r="A229" s="2" t="s">
        <v>420</v>
      </c>
      <c r="B229" s="2" t="s">
        <v>8</v>
      </c>
      <c r="C229" s="2" t="s">
        <v>9</v>
      </c>
      <c r="D229" s="2" t="s">
        <v>421</v>
      </c>
      <c r="E229" s="2">
        <v>695517</v>
      </c>
      <c r="F229" s="2">
        <v>1205710</v>
      </c>
      <c r="G229" s="2" t="s">
        <v>22</v>
      </c>
    </row>
    <row r="230" spans="1:7" ht="15.75" customHeight="1" x14ac:dyDescent="0.3">
      <c r="A230" s="2" t="s">
        <v>422</v>
      </c>
      <c r="B230" s="2" t="s">
        <v>27</v>
      </c>
      <c r="C230" s="2" t="s">
        <v>13</v>
      </c>
      <c r="D230" s="2" t="s">
        <v>423</v>
      </c>
      <c r="E230" s="2">
        <v>625789</v>
      </c>
      <c r="F230" s="2">
        <v>1529906</v>
      </c>
      <c r="G230" s="2" t="s">
        <v>22</v>
      </c>
    </row>
    <row r="231" spans="1:7" ht="15.75" customHeight="1" x14ac:dyDescent="0.3">
      <c r="A231" s="2" t="s">
        <v>424</v>
      </c>
      <c r="B231" s="2" t="s">
        <v>8</v>
      </c>
      <c r="C231" s="2" t="s">
        <v>56</v>
      </c>
      <c r="D231" s="2" t="s">
        <v>425</v>
      </c>
      <c r="E231" s="2">
        <v>1241548</v>
      </c>
      <c r="F231" s="2">
        <v>2132087</v>
      </c>
      <c r="G231" s="2" t="s">
        <v>29</v>
      </c>
    </row>
    <row r="232" spans="1:7" ht="15.75" customHeight="1" x14ac:dyDescent="0.3">
      <c r="A232" s="2" t="s">
        <v>426</v>
      </c>
      <c r="B232" s="2" t="s">
        <v>17</v>
      </c>
      <c r="C232" s="2" t="s">
        <v>31</v>
      </c>
      <c r="D232" s="2" t="s">
        <v>365</v>
      </c>
      <c r="E232" s="2">
        <v>1759151</v>
      </c>
      <c r="F232" s="2">
        <v>955252</v>
      </c>
      <c r="G232" s="2" t="s">
        <v>15</v>
      </c>
    </row>
    <row r="233" spans="1:7" ht="15.75" customHeight="1" x14ac:dyDescent="0.3">
      <c r="A233" s="2" t="s">
        <v>427</v>
      </c>
      <c r="B233" s="2" t="s">
        <v>20</v>
      </c>
      <c r="C233" s="2" t="s">
        <v>24</v>
      </c>
      <c r="D233" s="2" t="s">
        <v>10</v>
      </c>
      <c r="E233" s="2">
        <v>1877275</v>
      </c>
      <c r="F233" s="2">
        <v>1311224</v>
      </c>
      <c r="G233" s="2" t="s">
        <v>15</v>
      </c>
    </row>
    <row r="234" spans="1:7" ht="15.75" customHeight="1" x14ac:dyDescent="0.3">
      <c r="A234" s="2" t="s">
        <v>428</v>
      </c>
      <c r="B234" s="2" t="s">
        <v>37</v>
      </c>
      <c r="C234" s="2" t="s">
        <v>13</v>
      </c>
      <c r="D234" s="2" t="s">
        <v>429</v>
      </c>
      <c r="E234" s="2">
        <v>1270831</v>
      </c>
      <c r="F234" s="2">
        <v>540931</v>
      </c>
      <c r="G234" s="2" t="s">
        <v>11</v>
      </c>
    </row>
    <row r="235" spans="1:7" ht="15.75" customHeight="1" x14ac:dyDescent="0.3">
      <c r="A235" s="2" t="s">
        <v>430</v>
      </c>
      <c r="B235" s="2" t="s">
        <v>42</v>
      </c>
      <c r="C235" s="2" t="s">
        <v>13</v>
      </c>
      <c r="D235" s="2" t="s">
        <v>301</v>
      </c>
      <c r="E235" s="2">
        <v>1803849</v>
      </c>
      <c r="F235" s="2">
        <v>1586756</v>
      </c>
      <c r="G235" s="2" t="s">
        <v>15</v>
      </c>
    </row>
    <row r="236" spans="1:7" ht="15.75" customHeight="1" x14ac:dyDescent="0.3">
      <c r="A236" s="2" t="s">
        <v>431</v>
      </c>
      <c r="B236" s="2" t="s">
        <v>49</v>
      </c>
      <c r="C236" s="2" t="s">
        <v>9</v>
      </c>
      <c r="D236" s="2" t="s">
        <v>260</v>
      </c>
      <c r="E236" s="2">
        <v>878359</v>
      </c>
      <c r="F236" s="2">
        <v>873089</v>
      </c>
      <c r="G236" s="2" t="s">
        <v>22</v>
      </c>
    </row>
    <row r="237" spans="1:7" ht="15.75" customHeight="1" x14ac:dyDescent="0.3">
      <c r="A237" s="2" t="s">
        <v>432</v>
      </c>
      <c r="B237" s="2" t="s">
        <v>37</v>
      </c>
      <c r="C237" s="2" t="s">
        <v>31</v>
      </c>
      <c r="D237" s="2" t="s">
        <v>433</v>
      </c>
      <c r="E237" s="2">
        <v>512804</v>
      </c>
      <c r="F237" s="2">
        <v>680435</v>
      </c>
      <c r="G237" s="2" t="s">
        <v>29</v>
      </c>
    </row>
    <row r="238" spans="1:7" ht="15.75" customHeight="1" x14ac:dyDescent="0.3">
      <c r="A238" s="2" t="s">
        <v>434</v>
      </c>
      <c r="B238" s="2" t="s">
        <v>8</v>
      </c>
      <c r="C238" s="2" t="s">
        <v>24</v>
      </c>
      <c r="D238" s="2" t="s">
        <v>435</v>
      </c>
      <c r="E238" s="2">
        <v>1827857</v>
      </c>
      <c r="F238" s="2">
        <v>364292</v>
      </c>
      <c r="G238" s="2" t="s">
        <v>11</v>
      </c>
    </row>
    <row r="239" spans="1:7" ht="15.75" customHeight="1" x14ac:dyDescent="0.3">
      <c r="A239" s="2" t="s">
        <v>436</v>
      </c>
      <c r="B239" s="2" t="s">
        <v>42</v>
      </c>
      <c r="C239" s="2" t="s">
        <v>56</v>
      </c>
      <c r="D239" s="2" t="s">
        <v>69</v>
      </c>
      <c r="E239" s="2">
        <v>1451364</v>
      </c>
      <c r="F239" s="2">
        <v>1014910</v>
      </c>
      <c r="G239" s="2" t="s">
        <v>22</v>
      </c>
    </row>
    <row r="240" spans="1:7" ht="15.75" customHeight="1" x14ac:dyDescent="0.3">
      <c r="A240" s="2" t="s">
        <v>437</v>
      </c>
      <c r="B240" s="2" t="s">
        <v>49</v>
      </c>
      <c r="C240" s="2" t="s">
        <v>31</v>
      </c>
      <c r="D240" s="2" t="s">
        <v>79</v>
      </c>
      <c r="E240" s="2">
        <v>1690329</v>
      </c>
      <c r="F240" s="2">
        <v>1550371</v>
      </c>
      <c r="G240" s="2" t="s">
        <v>15</v>
      </c>
    </row>
    <row r="241" spans="1:7" ht="15.75" customHeight="1" x14ac:dyDescent="0.3">
      <c r="A241" s="2" t="s">
        <v>438</v>
      </c>
      <c r="B241" s="2" t="s">
        <v>27</v>
      </c>
      <c r="C241" s="2" t="s">
        <v>24</v>
      </c>
      <c r="D241" s="2" t="s">
        <v>301</v>
      </c>
      <c r="E241" s="2">
        <v>1795700</v>
      </c>
      <c r="F241" s="2">
        <v>404359</v>
      </c>
      <c r="G241" s="2" t="s">
        <v>15</v>
      </c>
    </row>
    <row r="242" spans="1:7" ht="15.75" customHeight="1" x14ac:dyDescent="0.3">
      <c r="A242" s="2" t="s">
        <v>439</v>
      </c>
      <c r="B242" s="2" t="s">
        <v>49</v>
      </c>
      <c r="C242" s="2" t="s">
        <v>56</v>
      </c>
      <c r="D242" s="2" t="s">
        <v>214</v>
      </c>
      <c r="E242" s="2">
        <v>1888186</v>
      </c>
      <c r="F242" s="2">
        <v>1189223</v>
      </c>
      <c r="G242" s="2" t="s">
        <v>29</v>
      </c>
    </row>
    <row r="243" spans="1:7" ht="15.75" customHeight="1" x14ac:dyDescent="0.3">
      <c r="A243" s="2" t="s">
        <v>440</v>
      </c>
      <c r="B243" s="2" t="s">
        <v>42</v>
      </c>
      <c r="C243" s="2" t="s">
        <v>31</v>
      </c>
      <c r="D243" s="2" t="s">
        <v>441</v>
      </c>
      <c r="E243" s="2">
        <v>952080</v>
      </c>
      <c r="F243" s="2">
        <v>1883230</v>
      </c>
      <c r="G243" s="2" t="s">
        <v>15</v>
      </c>
    </row>
    <row r="244" spans="1:7" ht="15.75" customHeight="1" x14ac:dyDescent="0.3">
      <c r="A244" s="2" t="s">
        <v>442</v>
      </c>
      <c r="B244" s="2" t="s">
        <v>37</v>
      </c>
      <c r="C244" s="2" t="s">
        <v>56</v>
      </c>
      <c r="D244" s="2" t="s">
        <v>443</v>
      </c>
      <c r="E244" s="2">
        <v>732552</v>
      </c>
      <c r="F244" s="2">
        <v>894010</v>
      </c>
      <c r="G244" s="2" t="s">
        <v>29</v>
      </c>
    </row>
    <row r="245" spans="1:7" ht="15.75" customHeight="1" x14ac:dyDescent="0.3">
      <c r="A245" s="2" t="s">
        <v>444</v>
      </c>
      <c r="B245" s="2" t="s">
        <v>49</v>
      </c>
      <c r="C245" s="2" t="s">
        <v>9</v>
      </c>
      <c r="D245" s="2" t="s">
        <v>75</v>
      </c>
      <c r="E245" s="2">
        <v>962460</v>
      </c>
      <c r="F245" s="2">
        <v>1128927</v>
      </c>
      <c r="G245" s="2" t="s">
        <v>15</v>
      </c>
    </row>
    <row r="246" spans="1:7" ht="15.75" customHeight="1" x14ac:dyDescent="0.3">
      <c r="A246" s="2" t="s">
        <v>445</v>
      </c>
      <c r="B246" s="2" t="s">
        <v>17</v>
      </c>
      <c r="C246" s="2" t="s">
        <v>24</v>
      </c>
      <c r="D246" s="2" t="s">
        <v>446</v>
      </c>
      <c r="E246" s="2">
        <v>1132122</v>
      </c>
      <c r="F246" s="2">
        <v>742989</v>
      </c>
      <c r="G246" s="2" t="s">
        <v>22</v>
      </c>
    </row>
    <row r="247" spans="1:7" ht="15.75" customHeight="1" x14ac:dyDescent="0.3">
      <c r="A247" s="2" t="s">
        <v>447</v>
      </c>
      <c r="B247" s="2" t="s">
        <v>49</v>
      </c>
      <c r="C247" s="2" t="s">
        <v>31</v>
      </c>
      <c r="D247" s="2" t="s">
        <v>448</v>
      </c>
      <c r="E247" s="2">
        <v>751625</v>
      </c>
      <c r="F247" s="2">
        <v>316210</v>
      </c>
      <c r="G247" s="2" t="s">
        <v>29</v>
      </c>
    </row>
    <row r="248" spans="1:7" ht="15.75" customHeight="1" x14ac:dyDescent="0.3">
      <c r="A248" s="2" t="s">
        <v>449</v>
      </c>
      <c r="B248" s="2" t="s">
        <v>27</v>
      </c>
      <c r="C248" s="2" t="s">
        <v>24</v>
      </c>
      <c r="D248" s="2" t="s">
        <v>450</v>
      </c>
      <c r="E248" s="2">
        <v>1297352</v>
      </c>
      <c r="F248" s="2">
        <v>1416906</v>
      </c>
      <c r="G248" s="2" t="s">
        <v>11</v>
      </c>
    </row>
    <row r="249" spans="1:7" ht="15.75" customHeight="1" x14ac:dyDescent="0.3">
      <c r="A249" s="2" t="s">
        <v>451</v>
      </c>
      <c r="B249" s="2" t="s">
        <v>37</v>
      </c>
      <c r="C249" s="2" t="s">
        <v>9</v>
      </c>
      <c r="D249" s="2" t="s">
        <v>452</v>
      </c>
      <c r="E249" s="2">
        <v>1332718</v>
      </c>
      <c r="F249" s="2">
        <v>2107250</v>
      </c>
      <c r="G249" s="2" t="s">
        <v>29</v>
      </c>
    </row>
    <row r="250" spans="1:7" ht="15.75" customHeight="1" x14ac:dyDescent="0.3">
      <c r="A250" s="2" t="s">
        <v>453</v>
      </c>
      <c r="B250" s="2" t="s">
        <v>17</v>
      </c>
      <c r="C250" s="2" t="s">
        <v>56</v>
      </c>
      <c r="D250" s="2" t="s">
        <v>126</v>
      </c>
      <c r="E250" s="2">
        <v>663289</v>
      </c>
      <c r="F250" s="2">
        <v>2107975</v>
      </c>
      <c r="G250" s="2" t="s">
        <v>29</v>
      </c>
    </row>
    <row r="251" spans="1:7" ht="15.75" customHeight="1" x14ac:dyDescent="0.3">
      <c r="A251" s="2" t="s">
        <v>454</v>
      </c>
      <c r="B251" s="2" t="s">
        <v>42</v>
      </c>
      <c r="C251" s="2" t="s">
        <v>56</v>
      </c>
      <c r="D251" s="2" t="s">
        <v>216</v>
      </c>
      <c r="E251" s="2">
        <v>1107157</v>
      </c>
      <c r="F251" s="2">
        <v>541536</v>
      </c>
      <c r="G251" s="2" t="s">
        <v>15</v>
      </c>
    </row>
    <row r="252" spans="1:7" ht="15.75" customHeight="1" x14ac:dyDescent="0.3"/>
    <row r="253" spans="1:7" ht="15.75" customHeight="1" x14ac:dyDescent="0.3"/>
    <row r="254" spans="1:7" ht="15.75" customHeight="1" x14ac:dyDescent="0.3"/>
    <row r="255" spans="1:7" ht="15.75" customHeight="1" x14ac:dyDescent="0.3"/>
    <row r="256" spans="1: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008B-E532-4EFE-9E7E-0F197BBC9ED8}">
  <dimension ref="A1:M251"/>
  <sheetViews>
    <sheetView tabSelected="1" zoomScale="108" zoomScaleNormal="100" workbookViewId="0">
      <pane ySplit="1" topLeftCell="A2" activePane="bottomLeft" state="frozen"/>
      <selection pane="bottomLeft" activeCell="G30" sqref="G30"/>
    </sheetView>
  </sheetViews>
  <sheetFormatPr defaultRowHeight="14.4" x14ac:dyDescent="0.3"/>
  <cols>
    <col min="1" max="1" width="16.5546875" bestFit="1" customWidth="1"/>
    <col min="2" max="2" width="19.88671875" bestFit="1" customWidth="1"/>
    <col min="3" max="3" width="15.5546875" bestFit="1" customWidth="1"/>
    <col min="4" max="4" width="16.33203125" style="13" bestFit="1" customWidth="1"/>
    <col min="5" max="5" width="19.109375" bestFit="1" customWidth="1"/>
    <col min="6" max="6" width="18.5546875" bestFit="1" customWidth="1"/>
    <col min="7" max="7" width="23" bestFit="1" customWidth="1"/>
    <col min="8" max="8" width="31.44140625" bestFit="1" customWidth="1"/>
    <col min="9" max="9" width="22.77734375" bestFit="1" customWidth="1"/>
    <col min="10" max="10" width="18.33203125" customWidth="1"/>
    <col min="11" max="11" width="15.5546875" bestFit="1" customWidth="1"/>
    <col min="12" max="12" width="21.44140625" bestFit="1" customWidth="1"/>
    <col min="13" max="13" width="2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5" t="s">
        <v>458</v>
      </c>
      <c r="H1" s="9" t="s">
        <v>463</v>
      </c>
      <c r="I1" s="5" t="s">
        <v>457</v>
      </c>
      <c r="J1" s="6"/>
      <c r="K1" s="3" t="s">
        <v>455</v>
      </c>
      <c r="L1" s="3" t="s">
        <v>456</v>
      </c>
      <c r="M1" s="3" t="s">
        <v>457</v>
      </c>
    </row>
    <row r="2" spans="1:13" x14ac:dyDescent="0.3">
      <c r="A2" s="2" t="s">
        <v>169</v>
      </c>
      <c r="B2" s="2" t="s">
        <v>49</v>
      </c>
      <c r="C2" s="10" t="s">
        <v>9</v>
      </c>
      <c r="D2" s="12" t="s">
        <v>170</v>
      </c>
      <c r="E2" s="7">
        <v>1986430</v>
      </c>
      <c r="F2" s="7">
        <v>1214478</v>
      </c>
      <c r="G2" s="8">
        <f>F2/E2</f>
        <v>0.61138726257658216</v>
      </c>
      <c r="H2" s="2" t="str" cm="1">
        <f t="array" ref="H2">_xlfn.IFS(G2&gt;=106%,"Excellent", G2&gt;=100%,"Good", G2&gt;=80%,"Average", G2&lt;80%,"Poor")</f>
        <v>Poor</v>
      </c>
      <c r="I2" t="str" cm="1">
        <f t="array" ref="I2">_xlfn.IFS(H2="Poor","Below Target",  H2="Average","Near Target",  H2="Good","Target Achieved", H2="Excellent","Target Exceeded")</f>
        <v>Below Target</v>
      </c>
      <c r="K2" s="4" t="s">
        <v>9</v>
      </c>
      <c r="L2" s="4" t="s">
        <v>11</v>
      </c>
      <c r="M2" s="4" t="s">
        <v>459</v>
      </c>
    </row>
    <row r="3" spans="1:13" x14ac:dyDescent="0.3">
      <c r="A3" s="2" t="s">
        <v>178</v>
      </c>
      <c r="B3" s="2" t="s">
        <v>49</v>
      </c>
      <c r="C3" s="2" t="s">
        <v>56</v>
      </c>
      <c r="D3" s="12" t="s">
        <v>170</v>
      </c>
      <c r="E3" s="7">
        <v>1649107</v>
      </c>
      <c r="F3" s="7">
        <v>2048448</v>
      </c>
      <c r="G3" s="8">
        <f>F3/E3</f>
        <v>1.2421559061965051</v>
      </c>
      <c r="H3" s="2" t="str" cm="1">
        <f t="array" ref="H3">_xlfn.IFS(G3&gt;=106%,"Excellent", G3&gt;=100%,"Good", G3&gt;=80%,"Average", G3&lt;80%,"Poor")</f>
        <v>Excellent</v>
      </c>
      <c r="I3" t="str" cm="1">
        <f t="array" ref="I3">_xlfn.IFS(H3="Poor","Below Target",  H3="Average","Near Target",  H3="Good","Target Achieved", H3="Excellent","Target Exceeded")</f>
        <v>Target Exceeded</v>
      </c>
      <c r="K3" s="4" t="s">
        <v>13</v>
      </c>
      <c r="L3" s="4" t="s">
        <v>15</v>
      </c>
      <c r="M3" s="4" t="s">
        <v>461</v>
      </c>
    </row>
    <row r="4" spans="1:13" x14ac:dyDescent="0.3">
      <c r="A4" s="2" t="s">
        <v>111</v>
      </c>
      <c r="B4" s="2" t="s">
        <v>42</v>
      </c>
      <c r="C4" s="2" t="s">
        <v>9</v>
      </c>
      <c r="D4" s="12" t="s">
        <v>112</v>
      </c>
      <c r="E4" s="7">
        <v>845269</v>
      </c>
      <c r="F4" s="7">
        <v>1094764</v>
      </c>
      <c r="G4" s="8">
        <f>F4/E4</f>
        <v>1.2951663908175977</v>
      </c>
      <c r="H4" s="2" t="str" cm="1">
        <f t="array" ref="H4">_xlfn.IFS(G4&gt;=106%,"Excellent", G4&gt;=100%,"Good", G4&gt;=80%,"Average", G4&lt;80%,"Poor")</f>
        <v>Excellent</v>
      </c>
      <c r="I4" t="str" cm="1">
        <f t="array" ref="I4">_xlfn.IFS(H4="Poor","Below Target",  H4="Average","Near Target",  H4="Good","Target Achieved", H4="Excellent","Target Exceeded")</f>
        <v>Target Exceeded</v>
      </c>
      <c r="K4" s="4" t="s">
        <v>24</v>
      </c>
      <c r="L4" s="4" t="s">
        <v>22</v>
      </c>
      <c r="M4" s="4" t="s">
        <v>460</v>
      </c>
    </row>
    <row r="5" spans="1:13" x14ac:dyDescent="0.3">
      <c r="A5" s="2" t="s">
        <v>142</v>
      </c>
      <c r="B5" s="2" t="s">
        <v>8</v>
      </c>
      <c r="C5" s="2" t="s">
        <v>56</v>
      </c>
      <c r="D5" s="12" t="s">
        <v>112</v>
      </c>
      <c r="E5" s="7">
        <v>1080240</v>
      </c>
      <c r="F5" s="7">
        <v>392456</v>
      </c>
      <c r="G5" s="8">
        <f>F5/E5</f>
        <v>0.36330445086277124</v>
      </c>
      <c r="H5" s="2" t="str" cm="1">
        <f t="array" ref="H5">_xlfn.IFS(G5&gt;=106%,"Excellent", G5&gt;=100%,"Good", G5&gt;=80%,"Average", G5&lt;80%,"Poor")</f>
        <v>Poor</v>
      </c>
      <c r="I5" t="str" cm="1">
        <f t="array" ref="I5">_xlfn.IFS(H5="Poor","Below Target",  H5="Average","Near Target",  H5="Good","Target Achieved", H5="Excellent","Target Exceeded")</f>
        <v>Below Target</v>
      </c>
      <c r="K5" s="4" t="s">
        <v>31</v>
      </c>
      <c r="L5" s="4" t="s">
        <v>29</v>
      </c>
      <c r="M5" s="4" t="s">
        <v>462</v>
      </c>
    </row>
    <row r="6" spans="1:13" x14ac:dyDescent="0.3">
      <c r="A6" s="2" t="s">
        <v>209</v>
      </c>
      <c r="B6" s="2" t="s">
        <v>17</v>
      </c>
      <c r="C6" s="2" t="s">
        <v>13</v>
      </c>
      <c r="D6" s="12" t="s">
        <v>210</v>
      </c>
      <c r="E6" s="7">
        <v>1297716</v>
      </c>
      <c r="F6" s="7">
        <v>1300299</v>
      </c>
      <c r="G6" s="8">
        <f>F6/E6</f>
        <v>1.0019904200919154</v>
      </c>
      <c r="H6" s="2" t="str" cm="1">
        <f t="array" ref="H6">_xlfn.IFS(G6&gt;=106%,"Excellent", G6&gt;=100%,"Good", G6&gt;=80%,"Average", G6&lt;80%,"Poor")</f>
        <v>Good</v>
      </c>
      <c r="I6" t="str" cm="1">
        <f t="array" ref="I6">_xlfn.IFS(H6="Poor","Below Target",  H6="Average","Near Target",  H6="Good","Target Achieved", H6="Excellent","Target Exceeded")</f>
        <v>Target Achieved</v>
      </c>
      <c r="K6" s="4" t="s">
        <v>56</v>
      </c>
    </row>
    <row r="7" spans="1:13" x14ac:dyDescent="0.3">
      <c r="A7" s="2" t="s">
        <v>107</v>
      </c>
      <c r="B7" s="2" t="s">
        <v>8</v>
      </c>
      <c r="C7" s="2" t="s">
        <v>9</v>
      </c>
      <c r="D7" s="12" t="s">
        <v>108</v>
      </c>
      <c r="E7" s="7">
        <v>1867646</v>
      </c>
      <c r="F7" s="7">
        <v>1433695</v>
      </c>
      <c r="G7" s="8">
        <f>F7/E7</f>
        <v>0.76764815173753487</v>
      </c>
      <c r="H7" s="2" t="str" cm="1">
        <f t="array" ref="H7">_xlfn.IFS(G7&gt;=106%,"Excellent", G7&gt;=100%,"Good", G7&gt;=80%,"Average", G7&lt;80%,"Poor")</f>
        <v>Poor</v>
      </c>
      <c r="I7" t="str" cm="1">
        <f t="array" ref="I7">_xlfn.IFS(H7="Poor","Below Target",  H7="Average","Near Target",  H7="Good","Target Achieved", H7="Excellent","Target Exceeded")</f>
        <v>Below Target</v>
      </c>
    </row>
    <row r="8" spans="1:13" x14ac:dyDescent="0.3">
      <c r="A8" s="2" t="s">
        <v>317</v>
      </c>
      <c r="B8" s="2" t="s">
        <v>20</v>
      </c>
      <c r="C8" s="2" t="s">
        <v>24</v>
      </c>
      <c r="D8" s="12" t="s">
        <v>108</v>
      </c>
      <c r="E8" s="7">
        <v>1151690</v>
      </c>
      <c r="F8" s="7">
        <v>1455193</v>
      </c>
      <c r="G8" s="8">
        <f>F8/E8</f>
        <v>1.2635283800328214</v>
      </c>
      <c r="H8" s="2" t="str" cm="1">
        <f t="array" ref="H8">_xlfn.IFS(G8&gt;=106%,"Excellent", G8&gt;=100%,"Good", G8&gt;=80%,"Average", G8&lt;80%,"Poor")</f>
        <v>Excellent</v>
      </c>
      <c r="I8" t="str" cm="1">
        <f t="array" ref="I8">_xlfn.IFS(H8="Poor","Below Target",  H8="Average","Near Target",  H8="Good","Target Achieved", H8="Excellent","Target Exceeded")</f>
        <v>Target Exceeded</v>
      </c>
    </row>
    <row r="9" spans="1:13" x14ac:dyDescent="0.3">
      <c r="A9" s="2" t="s">
        <v>225</v>
      </c>
      <c r="B9" s="2" t="s">
        <v>42</v>
      </c>
      <c r="C9" s="2" t="s">
        <v>31</v>
      </c>
      <c r="D9" s="12" t="s">
        <v>226</v>
      </c>
      <c r="E9" s="7">
        <v>671769</v>
      </c>
      <c r="F9" s="7">
        <v>1286304</v>
      </c>
      <c r="G9" s="8">
        <f>F9/E9</f>
        <v>1.9148010700106732</v>
      </c>
      <c r="H9" s="2" t="str" cm="1">
        <f t="array" ref="H9">_xlfn.IFS(G9&gt;=106%,"Excellent", G9&gt;=100%,"Good", G9&gt;=80%,"Average", G9&lt;80%,"Poor")</f>
        <v>Excellent</v>
      </c>
      <c r="I9" t="str" cm="1">
        <f t="array" ref="I9">_xlfn.IFS(H9="Poor","Below Target",  H9="Average","Near Target",  H9="Good","Target Achieved", H9="Excellent","Target Exceeded")</f>
        <v>Target Exceeded</v>
      </c>
    </row>
    <row r="10" spans="1:13" x14ac:dyDescent="0.3">
      <c r="A10" s="2" t="s">
        <v>229</v>
      </c>
      <c r="B10" s="2" t="s">
        <v>17</v>
      </c>
      <c r="C10" s="2" t="s">
        <v>24</v>
      </c>
      <c r="D10" s="12" t="s">
        <v>230</v>
      </c>
      <c r="E10" s="7">
        <v>918089</v>
      </c>
      <c r="F10" s="7">
        <v>2059990</v>
      </c>
      <c r="G10" s="8">
        <f>F10/E10</f>
        <v>2.243780287096349</v>
      </c>
      <c r="H10" s="2" t="str" cm="1">
        <f t="array" ref="H10">_xlfn.IFS(G10&gt;=106%,"Excellent", G10&gt;=100%,"Good", G10&gt;=80%,"Average", G10&lt;80%,"Poor")</f>
        <v>Excellent</v>
      </c>
      <c r="I10" t="str" cm="1">
        <f t="array" ref="I10">_xlfn.IFS(H10="Poor","Below Target",  H10="Average","Near Target",  H10="Good","Target Achieved", H10="Excellent","Target Exceeded")</f>
        <v>Target Exceeded</v>
      </c>
    </row>
    <row r="11" spans="1:13" x14ac:dyDescent="0.3">
      <c r="A11" s="2" t="s">
        <v>217</v>
      </c>
      <c r="B11" s="2" t="s">
        <v>34</v>
      </c>
      <c r="C11" s="2" t="s">
        <v>24</v>
      </c>
      <c r="D11" s="12" t="s">
        <v>218</v>
      </c>
      <c r="E11" s="7">
        <v>1804967</v>
      </c>
      <c r="F11" s="7">
        <v>1420138</v>
      </c>
      <c r="G11" s="8">
        <f>F11/E11</f>
        <v>0.78679444000915255</v>
      </c>
      <c r="H11" s="2" t="str" cm="1">
        <f t="array" ref="H11">_xlfn.IFS(G11&gt;=106%,"Excellent", G11&gt;=100%,"Good", G11&gt;=80%,"Average", G11&lt;80%,"Poor")</f>
        <v>Poor</v>
      </c>
      <c r="I11" t="str" cm="1">
        <f t="array" ref="I11">_xlfn.IFS(H11="Poor","Below Target",  H11="Average","Near Target",  H11="Good","Target Achieved", H11="Excellent","Target Exceeded")</f>
        <v>Below Target</v>
      </c>
    </row>
    <row r="12" spans="1:13" x14ac:dyDescent="0.3">
      <c r="A12" s="2" t="s">
        <v>234</v>
      </c>
      <c r="B12" s="2" t="s">
        <v>27</v>
      </c>
      <c r="C12" s="2" t="s">
        <v>31</v>
      </c>
      <c r="D12" s="12" t="s">
        <v>218</v>
      </c>
      <c r="E12" s="7">
        <v>726699</v>
      </c>
      <c r="F12" s="7">
        <v>1513589</v>
      </c>
      <c r="G12" s="8">
        <f>F12/E12</f>
        <v>2.0828279659116085</v>
      </c>
      <c r="H12" s="2" t="str" cm="1">
        <f t="array" ref="H12">_xlfn.IFS(G12&gt;=106%,"Excellent", G12&gt;=100%,"Good", G12&gt;=80%,"Average", G12&lt;80%,"Poor")</f>
        <v>Excellent</v>
      </c>
      <c r="I12" t="str" cm="1">
        <f t="array" ref="I12">_xlfn.IFS(H12="Poor","Below Target",  H12="Average","Near Target",  H12="Good","Target Achieved", H12="Excellent","Target Exceeded")</f>
        <v>Target Exceeded</v>
      </c>
    </row>
    <row r="13" spans="1:13" x14ac:dyDescent="0.3">
      <c r="A13" s="2" t="s">
        <v>347</v>
      </c>
      <c r="B13" s="2" t="s">
        <v>34</v>
      </c>
      <c r="C13" s="2" t="s">
        <v>24</v>
      </c>
      <c r="D13" s="12" t="s">
        <v>348</v>
      </c>
      <c r="E13" s="7">
        <v>1955425</v>
      </c>
      <c r="F13" s="7">
        <v>928025</v>
      </c>
      <c r="G13" s="8">
        <f>F13/E13</f>
        <v>0.47458992290678498</v>
      </c>
      <c r="H13" s="2" t="str" cm="1">
        <f t="array" ref="H13">_xlfn.IFS(G13&gt;=106%,"Excellent", G13&gt;=100%,"Good", G13&gt;=80%,"Average", G13&lt;80%,"Poor")</f>
        <v>Poor</v>
      </c>
      <c r="I13" t="str" cm="1">
        <f t="array" ref="I13">_xlfn.IFS(H13="Poor","Below Target",  H13="Average","Near Target",  H13="Good","Target Achieved", H13="Excellent","Target Exceeded")</f>
        <v>Below Target</v>
      </c>
    </row>
    <row r="14" spans="1:13" x14ac:dyDescent="0.3">
      <c r="A14" s="2" t="s">
        <v>149</v>
      </c>
      <c r="B14" s="2" t="s">
        <v>27</v>
      </c>
      <c r="C14" s="2" t="s">
        <v>9</v>
      </c>
      <c r="D14" s="12" t="s">
        <v>150</v>
      </c>
      <c r="E14" s="7">
        <v>1146464</v>
      </c>
      <c r="F14" s="7">
        <v>1064729</v>
      </c>
      <c r="G14" s="8">
        <f>F14/E14</f>
        <v>0.92870687609903146</v>
      </c>
      <c r="H14" s="2" t="str" cm="1">
        <f t="array" ref="H14">_xlfn.IFS(G14&gt;=106%,"Excellent", G14&gt;=100%,"Good", G14&gt;=80%,"Average", G14&lt;80%,"Poor")</f>
        <v>Average</v>
      </c>
      <c r="I14" t="str" cm="1">
        <f t="array" ref="I14">_xlfn.IFS(H14="Poor","Below Target",  H14="Average","Near Target",  H14="Good","Target Achieved", H14="Excellent","Target Exceeded")</f>
        <v>Near Target</v>
      </c>
    </row>
    <row r="15" spans="1:13" x14ac:dyDescent="0.3">
      <c r="A15" s="2" t="s">
        <v>451</v>
      </c>
      <c r="B15" s="2" t="s">
        <v>37</v>
      </c>
      <c r="C15" s="2" t="s">
        <v>9</v>
      </c>
      <c r="D15" s="12" t="s">
        <v>452</v>
      </c>
      <c r="E15" s="7">
        <v>1332718</v>
      </c>
      <c r="F15" s="7">
        <v>2107250</v>
      </c>
      <c r="G15" s="8">
        <f>F15/E15</f>
        <v>1.5811672086667998</v>
      </c>
      <c r="H15" s="2" t="str" cm="1">
        <f t="array" ref="H15">_xlfn.IFS(G15&gt;=106%,"Excellent", G15&gt;=100%,"Good", G15&gt;=80%,"Average", G15&lt;80%,"Poor")</f>
        <v>Excellent</v>
      </c>
      <c r="I15" t="str" cm="1">
        <f t="array" ref="I15">_xlfn.IFS(H15="Poor","Below Target",  H15="Average","Near Target",  H15="Good","Target Achieved", H15="Excellent","Target Exceeded")</f>
        <v>Target Exceeded</v>
      </c>
    </row>
    <row r="16" spans="1:13" x14ac:dyDescent="0.3">
      <c r="A16" s="2" t="s">
        <v>405</v>
      </c>
      <c r="B16" s="2" t="s">
        <v>34</v>
      </c>
      <c r="C16" s="2" t="s">
        <v>13</v>
      </c>
      <c r="D16" s="12" t="s">
        <v>406</v>
      </c>
      <c r="E16" s="7">
        <v>964623</v>
      </c>
      <c r="F16" s="7">
        <v>1589972</v>
      </c>
      <c r="G16" s="8">
        <f>F16/E16</f>
        <v>1.6482833189753925</v>
      </c>
      <c r="H16" s="2" t="str" cm="1">
        <f t="array" ref="H16">_xlfn.IFS(G16&gt;=106%,"Excellent", G16&gt;=100%,"Good", G16&gt;=80%,"Average", G16&lt;80%,"Poor")</f>
        <v>Excellent</v>
      </c>
      <c r="I16" t="str" cm="1">
        <f t="array" ref="I16">_xlfn.IFS(H16="Poor","Below Target",  H16="Average","Near Target",  H16="Good","Target Achieved", H16="Excellent","Target Exceeded")</f>
        <v>Target Exceeded</v>
      </c>
    </row>
    <row r="17" spans="1:9" x14ac:dyDescent="0.3">
      <c r="A17" s="2" t="s">
        <v>272</v>
      </c>
      <c r="B17" s="2" t="s">
        <v>34</v>
      </c>
      <c r="C17" s="2" t="s">
        <v>56</v>
      </c>
      <c r="D17" s="12" t="s">
        <v>273</v>
      </c>
      <c r="E17" s="7">
        <v>1214512</v>
      </c>
      <c r="F17" s="7">
        <v>686638</v>
      </c>
      <c r="G17" s="8">
        <f>F17/E17</f>
        <v>0.56536123150697559</v>
      </c>
      <c r="H17" s="2" t="str" cm="1">
        <f t="array" ref="H17">_xlfn.IFS(G17&gt;=106%,"Excellent", G17&gt;=100%,"Good", G17&gt;=80%,"Average", G17&lt;80%,"Poor")</f>
        <v>Poor</v>
      </c>
      <c r="I17" t="str" cm="1">
        <f t="array" ref="I17">_xlfn.IFS(H17="Poor","Below Target",  H17="Average","Near Target",  H17="Good","Target Achieved", H17="Excellent","Target Exceeded")</f>
        <v>Below Target</v>
      </c>
    </row>
    <row r="18" spans="1:9" x14ac:dyDescent="0.3">
      <c r="A18" s="2" t="s">
        <v>115</v>
      </c>
      <c r="B18" s="2" t="s">
        <v>27</v>
      </c>
      <c r="C18" s="2" t="s">
        <v>24</v>
      </c>
      <c r="D18" s="12" t="s">
        <v>116</v>
      </c>
      <c r="E18" s="7">
        <v>1122241</v>
      </c>
      <c r="F18" s="7">
        <v>756551</v>
      </c>
      <c r="G18" s="8">
        <f>F18/E18</f>
        <v>0.67414307621981373</v>
      </c>
      <c r="H18" s="2" t="str" cm="1">
        <f t="array" ref="H18">_xlfn.IFS(G18&gt;=106%,"Excellent", G18&gt;=100%,"Good", G18&gt;=80%,"Average", G18&lt;80%,"Poor")</f>
        <v>Poor</v>
      </c>
      <c r="I18" t="str" cm="1">
        <f t="array" ref="I18">_xlfn.IFS(H18="Poor","Below Target",  H18="Average","Near Target",  H18="Good","Target Achieved", H18="Excellent","Target Exceeded")</f>
        <v>Below Target</v>
      </c>
    </row>
    <row r="19" spans="1:9" x14ac:dyDescent="0.3">
      <c r="A19" s="2" t="s">
        <v>36</v>
      </c>
      <c r="B19" s="2" t="s">
        <v>37</v>
      </c>
      <c r="C19" s="2" t="s">
        <v>13</v>
      </c>
      <c r="D19" s="12" t="s">
        <v>38</v>
      </c>
      <c r="E19" s="7">
        <v>903258</v>
      </c>
      <c r="F19" s="7">
        <v>1777594</v>
      </c>
      <c r="G19" s="8">
        <f>F19/E19</f>
        <v>1.967980355557327</v>
      </c>
      <c r="H19" s="2" t="str" cm="1">
        <f t="array" ref="H19">_xlfn.IFS(G19&gt;=106%,"Excellent", G19&gt;=100%,"Good", G19&gt;=80%,"Average", G19&lt;80%,"Poor")</f>
        <v>Excellent</v>
      </c>
      <c r="I19" t="str" cm="1">
        <f t="array" ref="I19">_xlfn.IFS(H19="Poor","Below Target",  H19="Average","Near Target",  H19="Good","Target Achieved", H19="Excellent","Target Exceeded")</f>
        <v>Target Exceeded</v>
      </c>
    </row>
    <row r="20" spans="1:9" x14ac:dyDescent="0.3">
      <c r="A20" s="2" t="s">
        <v>161</v>
      </c>
      <c r="B20" s="2" t="s">
        <v>42</v>
      </c>
      <c r="C20" s="2" t="s">
        <v>31</v>
      </c>
      <c r="D20" s="12" t="s">
        <v>38</v>
      </c>
      <c r="E20" s="7">
        <v>1084272</v>
      </c>
      <c r="F20" s="7">
        <v>2112679</v>
      </c>
      <c r="G20" s="8">
        <f>F20/E20</f>
        <v>1.9484769504331017</v>
      </c>
      <c r="H20" s="2" t="str" cm="1">
        <f t="array" ref="H20">_xlfn.IFS(G20&gt;=106%,"Excellent", G20&gt;=100%,"Good", G20&gt;=80%,"Average", G20&lt;80%,"Poor")</f>
        <v>Excellent</v>
      </c>
      <c r="I20" t="str" cm="1">
        <f t="array" ref="I20">_xlfn.IFS(H20="Poor","Below Target",  H20="Average","Near Target",  H20="Good","Target Achieved", H20="Excellent","Target Exceeded")</f>
        <v>Target Exceeded</v>
      </c>
    </row>
    <row r="21" spans="1:9" x14ac:dyDescent="0.3">
      <c r="A21" s="2" t="s">
        <v>90</v>
      </c>
      <c r="B21" s="2" t="s">
        <v>20</v>
      </c>
      <c r="C21" s="2" t="s">
        <v>13</v>
      </c>
      <c r="D21" s="12" t="s">
        <v>91</v>
      </c>
      <c r="E21" s="7">
        <v>961829</v>
      </c>
      <c r="F21" s="7">
        <v>315080</v>
      </c>
      <c r="G21" s="8">
        <f>F21/E21</f>
        <v>0.32758421715294506</v>
      </c>
      <c r="H21" s="2" t="str" cm="1">
        <f t="array" ref="H21">_xlfn.IFS(G21&gt;=106%,"Excellent", G21&gt;=100%,"Good", G21&gt;=80%,"Average", G21&lt;80%,"Poor")</f>
        <v>Poor</v>
      </c>
      <c r="I21" t="str" cm="1">
        <f t="array" ref="I21">_xlfn.IFS(H21="Poor","Below Target",  H21="Average","Near Target",  H21="Good","Target Achieved", H21="Excellent","Target Exceeded")</f>
        <v>Below Target</v>
      </c>
    </row>
    <row r="22" spans="1:9" x14ac:dyDescent="0.3">
      <c r="A22" s="2" t="s">
        <v>409</v>
      </c>
      <c r="B22" s="2" t="s">
        <v>8</v>
      </c>
      <c r="C22" s="2" t="s">
        <v>56</v>
      </c>
      <c r="D22" s="12" t="s">
        <v>410</v>
      </c>
      <c r="E22" s="7">
        <v>1994013</v>
      </c>
      <c r="F22" s="7">
        <v>1230217</v>
      </c>
      <c r="G22" s="8">
        <f>F22/E22</f>
        <v>0.61695535585776018</v>
      </c>
      <c r="H22" s="2" t="str" cm="1">
        <f t="array" ref="H22">_xlfn.IFS(G22&gt;=106%,"Excellent", G22&gt;=100%,"Good", G22&gt;=80%,"Average", G22&lt;80%,"Poor")</f>
        <v>Poor</v>
      </c>
      <c r="I22" t="str" cm="1">
        <f t="array" ref="I22">_xlfn.IFS(H22="Poor","Below Target",  H22="Average","Near Target",  H22="Good","Target Achieved", H22="Excellent","Target Exceeded")</f>
        <v>Below Target</v>
      </c>
    </row>
    <row r="23" spans="1:9" x14ac:dyDescent="0.3">
      <c r="A23" s="2" t="s">
        <v>105</v>
      </c>
      <c r="B23" s="2" t="s">
        <v>27</v>
      </c>
      <c r="C23" s="2" t="s">
        <v>31</v>
      </c>
      <c r="D23" s="12" t="s">
        <v>106</v>
      </c>
      <c r="E23" s="7">
        <v>1470201</v>
      </c>
      <c r="F23" s="7">
        <v>823882</v>
      </c>
      <c r="G23" s="8">
        <f>F23/E23</f>
        <v>0.56038732118941559</v>
      </c>
      <c r="H23" s="2" t="str" cm="1">
        <f t="array" ref="H23">_xlfn.IFS(G23&gt;=106%,"Excellent", G23&gt;=100%,"Good", G23&gt;=80%,"Average", G23&lt;80%,"Poor")</f>
        <v>Poor</v>
      </c>
      <c r="I23" t="str" cm="1">
        <f t="array" ref="I23">_xlfn.IFS(H23="Poor","Below Target",  H23="Average","Near Target",  H23="Good","Target Achieved", H23="Excellent","Target Exceeded")</f>
        <v>Below Target</v>
      </c>
    </row>
    <row r="24" spans="1:9" x14ac:dyDescent="0.3">
      <c r="A24" s="2" t="s">
        <v>235</v>
      </c>
      <c r="B24" s="2" t="s">
        <v>42</v>
      </c>
      <c r="C24" s="2" t="s">
        <v>56</v>
      </c>
      <c r="D24" s="12" t="s">
        <v>106</v>
      </c>
      <c r="E24" s="7">
        <v>1999494</v>
      </c>
      <c r="F24" s="7">
        <v>715927</v>
      </c>
      <c r="G24" s="8">
        <f>F24/E24</f>
        <v>0.35805408768418412</v>
      </c>
      <c r="H24" s="2" t="str" cm="1">
        <f t="array" ref="H24">_xlfn.IFS(G24&gt;=106%,"Excellent", G24&gt;=100%,"Good", G24&gt;=80%,"Average", G24&lt;80%,"Poor")</f>
        <v>Poor</v>
      </c>
      <c r="I24" t="str" cm="1">
        <f t="array" ref="I24">_xlfn.IFS(H24="Poor","Below Target",  H24="Average","Near Target",  H24="Good","Target Achieved", H24="Excellent","Target Exceeded")</f>
        <v>Below Target</v>
      </c>
    </row>
    <row r="25" spans="1:9" x14ac:dyDescent="0.3">
      <c r="A25" s="2" t="s">
        <v>339</v>
      </c>
      <c r="B25" s="2" t="s">
        <v>27</v>
      </c>
      <c r="C25" s="2" t="s">
        <v>56</v>
      </c>
      <c r="D25" s="12" t="s">
        <v>106</v>
      </c>
      <c r="E25" s="7">
        <v>1873175</v>
      </c>
      <c r="F25" s="7">
        <v>623718</v>
      </c>
      <c r="G25" s="8">
        <f>F25/E25</f>
        <v>0.33297369439587865</v>
      </c>
      <c r="H25" s="2" t="str" cm="1">
        <f t="array" ref="H25">_xlfn.IFS(G25&gt;=106%,"Excellent", G25&gt;=100%,"Good", G25&gt;=80%,"Average", G25&lt;80%,"Poor")</f>
        <v>Poor</v>
      </c>
      <c r="I25" t="str" cm="1">
        <f t="array" ref="I25">_xlfn.IFS(H25="Poor","Below Target",  H25="Average","Near Target",  H25="Good","Target Achieved", H25="Excellent","Target Exceeded")</f>
        <v>Below Target</v>
      </c>
    </row>
    <row r="26" spans="1:9" x14ac:dyDescent="0.3">
      <c r="A26" s="2" t="s">
        <v>200</v>
      </c>
      <c r="B26" s="2" t="s">
        <v>34</v>
      </c>
      <c r="C26" s="2" t="s">
        <v>24</v>
      </c>
      <c r="D26" s="12" t="s">
        <v>201</v>
      </c>
      <c r="E26" s="7">
        <v>1075872</v>
      </c>
      <c r="F26" s="7">
        <v>1222479</v>
      </c>
      <c r="G26" s="8">
        <f>F26/E26</f>
        <v>1.1362680690639779</v>
      </c>
      <c r="H26" s="2" t="str" cm="1">
        <f t="array" ref="H26">_xlfn.IFS(G26&gt;=106%,"Excellent", G26&gt;=100%,"Good", G26&gt;=80%,"Average", G26&lt;80%,"Poor")</f>
        <v>Excellent</v>
      </c>
      <c r="I26" t="str" cm="1">
        <f t="array" ref="I26">_xlfn.IFS(H26="Poor","Below Target",  H26="Average","Near Target",  H26="Good","Target Achieved", H26="Excellent","Target Exceeded")</f>
        <v>Target Exceeded</v>
      </c>
    </row>
    <row r="27" spans="1:9" x14ac:dyDescent="0.3">
      <c r="A27" s="2" t="s">
        <v>33</v>
      </c>
      <c r="B27" s="2" t="s">
        <v>34</v>
      </c>
      <c r="C27" s="4" t="s">
        <v>13</v>
      </c>
      <c r="D27" s="12" t="s">
        <v>35</v>
      </c>
      <c r="E27" s="7">
        <v>761779</v>
      </c>
      <c r="F27" s="7">
        <v>1093844</v>
      </c>
      <c r="G27" s="8">
        <f>F27/E27</f>
        <v>1.435907264442837</v>
      </c>
      <c r="H27" s="2" t="str" cm="1">
        <f t="array" ref="H27">_xlfn.IFS(G27&gt;=106%,"Excellent", G27&gt;=100%,"Good", G27&gt;=80%,"Average", G27&lt;80%,"Poor")</f>
        <v>Excellent</v>
      </c>
      <c r="I27" t="str" cm="1">
        <f t="array" ref="I27">_xlfn.IFS(H27="Poor","Below Target",  H27="Average","Near Target",  H27="Good","Target Achieved", H27="Excellent","Target Exceeded")</f>
        <v>Target Exceeded</v>
      </c>
    </row>
    <row r="28" spans="1:9" x14ac:dyDescent="0.3">
      <c r="A28" s="2" t="s">
        <v>282</v>
      </c>
      <c r="B28" s="2" t="s">
        <v>20</v>
      </c>
      <c r="C28" s="2" t="s">
        <v>24</v>
      </c>
      <c r="D28" s="12" t="s">
        <v>283</v>
      </c>
      <c r="E28" s="7">
        <v>1055003</v>
      </c>
      <c r="F28" s="7">
        <v>1685018</v>
      </c>
      <c r="G28" s="8">
        <f>F28/E28</f>
        <v>1.5971689180030768</v>
      </c>
      <c r="H28" s="2" t="str" cm="1">
        <f t="array" ref="H28">_xlfn.IFS(G28&gt;=106%,"Excellent", G28&gt;=100%,"Good", G28&gt;=80%,"Average", G28&lt;80%,"Poor")</f>
        <v>Excellent</v>
      </c>
      <c r="I28" t="str" cm="1">
        <f t="array" ref="I28">_xlfn.IFS(H28="Poor","Below Target",  H28="Average","Near Target",  H28="Good","Target Achieved", H28="Excellent","Target Exceeded")</f>
        <v>Target Exceeded</v>
      </c>
    </row>
    <row r="29" spans="1:9" x14ac:dyDescent="0.3">
      <c r="A29" s="2" t="s">
        <v>78</v>
      </c>
      <c r="B29" s="2" t="s">
        <v>17</v>
      </c>
      <c r="C29" s="2" t="s">
        <v>24</v>
      </c>
      <c r="D29" s="12" t="s">
        <v>79</v>
      </c>
      <c r="E29" s="7">
        <v>1689833</v>
      </c>
      <c r="F29" s="7">
        <v>465165</v>
      </c>
      <c r="G29" s="8">
        <f>F29/E29</f>
        <v>0.27527276363995734</v>
      </c>
      <c r="H29" s="2" t="str" cm="1">
        <f t="array" ref="H29">_xlfn.IFS(G29&gt;=106%,"Excellent", G29&gt;=100%,"Good", G29&gt;=80%,"Average", G29&lt;80%,"Poor")</f>
        <v>Poor</v>
      </c>
      <c r="I29" t="str" cm="1">
        <f t="array" ref="I29">_xlfn.IFS(H29="Poor","Below Target",  H29="Average","Near Target",  H29="Good","Target Achieved", H29="Excellent","Target Exceeded")</f>
        <v>Below Target</v>
      </c>
    </row>
    <row r="30" spans="1:9" x14ac:dyDescent="0.3">
      <c r="A30" s="2" t="s">
        <v>437</v>
      </c>
      <c r="B30" s="2" t="s">
        <v>49</v>
      </c>
      <c r="C30" s="2" t="s">
        <v>31</v>
      </c>
      <c r="D30" s="12" t="s">
        <v>79</v>
      </c>
      <c r="E30" s="7">
        <v>1690329</v>
      </c>
      <c r="F30" s="7">
        <v>1550371</v>
      </c>
      <c r="G30" s="8">
        <f>F30/E30</f>
        <v>0.91720073429492133</v>
      </c>
      <c r="H30" s="2" t="str" cm="1">
        <f t="array" ref="H30">_xlfn.IFS(G30&gt;=106%,"Excellent", G30&gt;=100%,"Good", G30&gt;=80%,"Average", G30&lt;80%,"Poor")</f>
        <v>Average</v>
      </c>
      <c r="I30" t="str" cm="1">
        <f t="array" ref="I30">_xlfn.IFS(H30="Poor","Below Target",  H30="Average","Near Target",  H30="Good","Target Achieved", H30="Excellent","Target Exceeded")</f>
        <v>Near Target</v>
      </c>
    </row>
    <row r="31" spans="1:9" x14ac:dyDescent="0.3">
      <c r="A31" s="2" t="s">
        <v>434</v>
      </c>
      <c r="B31" s="2" t="s">
        <v>8</v>
      </c>
      <c r="C31" s="2" t="s">
        <v>24</v>
      </c>
      <c r="D31" s="12" t="s">
        <v>435</v>
      </c>
      <c r="E31" s="7">
        <v>1827857</v>
      </c>
      <c r="F31" s="7">
        <v>364292</v>
      </c>
      <c r="G31" s="8">
        <f>F31/E31</f>
        <v>0.19930005465416606</v>
      </c>
      <c r="H31" s="2" t="str" cm="1">
        <f t="array" ref="H31">_xlfn.IFS(G31&gt;=106%,"Excellent", G31&gt;=100%,"Good", G31&gt;=80%,"Average", G31&lt;80%,"Poor")</f>
        <v>Poor</v>
      </c>
      <c r="I31" t="str" cm="1">
        <f t="array" ref="I31">_xlfn.IFS(H31="Poor","Below Target",  H31="Average","Near Target",  H31="Good","Target Achieved", H31="Excellent","Target Exceeded")</f>
        <v>Below Target</v>
      </c>
    </row>
    <row r="32" spans="1:9" x14ac:dyDescent="0.3">
      <c r="A32" s="2" t="s">
        <v>26</v>
      </c>
      <c r="B32" s="2" t="s">
        <v>27</v>
      </c>
      <c r="C32" s="2" t="s">
        <v>24</v>
      </c>
      <c r="D32" s="12" t="s">
        <v>28</v>
      </c>
      <c r="E32" s="7">
        <v>1205889</v>
      </c>
      <c r="F32" s="7">
        <v>514350</v>
      </c>
      <c r="G32" s="8">
        <f>F32/E32</f>
        <v>0.42653179521498247</v>
      </c>
      <c r="H32" s="2" t="str" cm="1">
        <f t="array" ref="H32">_xlfn.IFS(G32&gt;=106%,"Excellent", G32&gt;=100%,"Good", G32&gt;=80%,"Average", G32&lt;80%,"Poor")</f>
        <v>Poor</v>
      </c>
      <c r="I32" t="str" cm="1">
        <f t="array" ref="I32">_xlfn.IFS(H32="Poor","Below Target",  H32="Average","Near Target",  H32="Good","Target Achieved", H32="Excellent","Target Exceeded")</f>
        <v>Below Target</v>
      </c>
    </row>
    <row r="33" spans="1:9" x14ac:dyDescent="0.3">
      <c r="A33" s="2" t="s">
        <v>420</v>
      </c>
      <c r="B33" s="2" t="s">
        <v>8</v>
      </c>
      <c r="C33" s="2" t="s">
        <v>9</v>
      </c>
      <c r="D33" s="12" t="s">
        <v>421</v>
      </c>
      <c r="E33" s="7">
        <v>695517</v>
      </c>
      <c r="F33" s="7">
        <v>1205710</v>
      </c>
      <c r="G33" s="8">
        <f>F33/E33</f>
        <v>1.7335449744578493</v>
      </c>
      <c r="H33" s="2" t="str" cm="1">
        <f t="array" ref="H33">_xlfn.IFS(G33&gt;=106%,"Excellent", G33&gt;=100%,"Good", G33&gt;=80%,"Average", G33&lt;80%,"Poor")</f>
        <v>Excellent</v>
      </c>
      <c r="I33" t="str" cm="1">
        <f t="array" ref="I33">_xlfn.IFS(H33="Poor","Below Target",  H33="Average","Near Target",  H33="Good","Target Achieved", H33="Excellent","Target Exceeded")</f>
        <v>Target Exceeded</v>
      </c>
    </row>
    <row r="34" spans="1:9" x14ac:dyDescent="0.3">
      <c r="A34" s="2" t="s">
        <v>102</v>
      </c>
      <c r="B34" s="2" t="s">
        <v>17</v>
      </c>
      <c r="C34" s="2" t="s">
        <v>56</v>
      </c>
      <c r="D34" s="12" t="s">
        <v>103</v>
      </c>
      <c r="E34" s="7">
        <v>1211569</v>
      </c>
      <c r="F34" s="7">
        <v>1978964</v>
      </c>
      <c r="G34" s="8">
        <f>F34/E34</f>
        <v>1.6333894313902055</v>
      </c>
      <c r="H34" s="2" t="str" cm="1">
        <f t="array" ref="H34">_xlfn.IFS(G34&gt;=106%,"Excellent", G34&gt;=100%,"Good", G34&gt;=80%,"Average", G34&lt;80%,"Poor")</f>
        <v>Excellent</v>
      </c>
      <c r="I34" t="str" cm="1">
        <f t="array" ref="I34">_xlfn.IFS(H34="Poor","Below Target",  H34="Average","Near Target",  H34="Good","Target Achieved", H34="Excellent","Target Exceeded")</f>
        <v>Target Exceeded</v>
      </c>
    </row>
    <row r="35" spans="1:9" x14ac:dyDescent="0.3">
      <c r="A35" s="2" t="s">
        <v>231</v>
      </c>
      <c r="B35" s="2" t="s">
        <v>20</v>
      </c>
      <c r="C35" s="2" t="s">
        <v>24</v>
      </c>
      <c r="D35" s="12" t="s">
        <v>232</v>
      </c>
      <c r="E35" s="7">
        <v>1493129</v>
      </c>
      <c r="F35" s="7">
        <v>1703956</v>
      </c>
      <c r="G35" s="8">
        <f>F35/E35</f>
        <v>1.1411981148313375</v>
      </c>
      <c r="H35" s="2" t="str" cm="1">
        <f t="array" ref="H35">_xlfn.IFS(G35&gt;=106%,"Excellent", G35&gt;=100%,"Good", G35&gt;=80%,"Average", G35&lt;80%,"Poor")</f>
        <v>Excellent</v>
      </c>
      <c r="I35" t="str" cm="1">
        <f t="array" ref="I35">_xlfn.IFS(H35="Poor","Below Target",  H35="Average","Near Target",  H35="Good","Target Achieved", H35="Excellent","Target Exceeded")</f>
        <v>Target Exceeded</v>
      </c>
    </row>
    <row r="36" spans="1:9" x14ac:dyDescent="0.3">
      <c r="A36" s="2" t="s">
        <v>136</v>
      </c>
      <c r="B36" s="2" t="s">
        <v>49</v>
      </c>
      <c r="C36" s="2" t="s">
        <v>9</v>
      </c>
      <c r="D36" s="12" t="s">
        <v>137</v>
      </c>
      <c r="E36" s="7">
        <v>781628</v>
      </c>
      <c r="F36" s="7">
        <v>854625</v>
      </c>
      <c r="G36" s="8">
        <f>F36/E36</f>
        <v>1.0933909737112795</v>
      </c>
      <c r="H36" s="2" t="str" cm="1">
        <f t="array" ref="H36">_xlfn.IFS(G36&gt;=106%,"Excellent", G36&gt;=100%,"Good", G36&gt;=80%,"Average", G36&lt;80%,"Poor")</f>
        <v>Excellent</v>
      </c>
      <c r="I36" t="str" cm="1">
        <f t="array" ref="I36">_xlfn.IFS(H36="Poor","Below Target",  H36="Average","Near Target",  H36="Good","Target Achieved", H36="Excellent","Target Exceeded")</f>
        <v>Target Exceeded</v>
      </c>
    </row>
    <row r="37" spans="1:9" x14ac:dyDescent="0.3">
      <c r="A37" s="2" t="s">
        <v>318</v>
      </c>
      <c r="B37" s="2" t="s">
        <v>8</v>
      </c>
      <c r="C37" s="2" t="s">
        <v>24</v>
      </c>
      <c r="D37" s="12" t="s">
        <v>319</v>
      </c>
      <c r="E37" s="7">
        <v>737945</v>
      </c>
      <c r="F37" s="7">
        <v>1267726</v>
      </c>
      <c r="G37" s="8">
        <f>F37/E37</f>
        <v>1.7179139366754974</v>
      </c>
      <c r="H37" s="2" t="str" cm="1">
        <f t="array" ref="H37">_xlfn.IFS(G37&gt;=106%,"Excellent", G37&gt;=100%,"Good", G37&gt;=80%,"Average", G37&lt;80%,"Poor")</f>
        <v>Excellent</v>
      </c>
      <c r="I37" t="str" cm="1">
        <f t="array" ref="I37">_xlfn.IFS(H37="Poor","Below Target",  H37="Average","Near Target",  H37="Good","Target Achieved", H37="Excellent","Target Exceeded")</f>
        <v>Target Exceeded</v>
      </c>
    </row>
    <row r="38" spans="1:9" x14ac:dyDescent="0.3">
      <c r="A38" s="2" t="s">
        <v>236</v>
      </c>
      <c r="B38" s="2" t="s">
        <v>8</v>
      </c>
      <c r="C38" s="2" t="s">
        <v>31</v>
      </c>
      <c r="D38" s="12" t="s">
        <v>237</v>
      </c>
      <c r="E38" s="7">
        <v>1934995</v>
      </c>
      <c r="F38" s="7">
        <v>1559154</v>
      </c>
      <c r="G38" s="8">
        <f>F38/E38</f>
        <v>0.80576642316905212</v>
      </c>
      <c r="H38" s="2" t="str" cm="1">
        <f t="array" ref="H38">_xlfn.IFS(G38&gt;=106%,"Excellent", G38&gt;=100%,"Good", G38&gt;=80%,"Average", G38&lt;80%,"Poor")</f>
        <v>Average</v>
      </c>
      <c r="I38" t="str" cm="1">
        <f t="array" ref="I38">_xlfn.IFS(H38="Poor","Below Target",  H38="Average","Near Target",  H38="Good","Target Achieved", H38="Excellent","Target Exceeded")</f>
        <v>Near Target</v>
      </c>
    </row>
    <row r="39" spans="1:9" x14ac:dyDescent="0.3">
      <c r="A39" s="2" t="s">
        <v>261</v>
      </c>
      <c r="B39" s="2" t="s">
        <v>49</v>
      </c>
      <c r="C39" s="2" t="s">
        <v>31</v>
      </c>
      <c r="D39" s="12" t="s">
        <v>237</v>
      </c>
      <c r="E39" s="7">
        <v>1027231</v>
      </c>
      <c r="F39" s="7">
        <v>783473</v>
      </c>
      <c r="G39" s="8">
        <f>F39/E39</f>
        <v>0.76270381248229469</v>
      </c>
      <c r="H39" s="2" t="str" cm="1">
        <f t="array" ref="H39">_xlfn.IFS(G39&gt;=106%,"Excellent", G39&gt;=100%,"Good", G39&gt;=80%,"Average", G39&lt;80%,"Poor")</f>
        <v>Poor</v>
      </c>
      <c r="I39" t="str" cm="1">
        <f t="array" ref="I39">_xlfn.IFS(H39="Poor","Below Target",  H39="Average","Near Target",  H39="Good","Target Achieved", H39="Excellent","Target Exceeded")</f>
        <v>Below Target</v>
      </c>
    </row>
    <row r="40" spans="1:9" x14ac:dyDescent="0.3">
      <c r="A40" s="2" t="s">
        <v>192</v>
      </c>
      <c r="B40" s="2" t="s">
        <v>17</v>
      </c>
      <c r="C40" s="2" t="s">
        <v>13</v>
      </c>
      <c r="D40" s="12" t="s">
        <v>193</v>
      </c>
      <c r="E40" s="7">
        <v>1022606</v>
      </c>
      <c r="F40" s="7">
        <v>2079090</v>
      </c>
      <c r="G40" s="8">
        <f>F40/E40</f>
        <v>2.0331290839287077</v>
      </c>
      <c r="H40" s="2" t="str" cm="1">
        <f t="array" ref="H40">_xlfn.IFS(G40&gt;=106%,"Excellent", G40&gt;=100%,"Good", G40&gt;=80%,"Average", G40&lt;80%,"Poor")</f>
        <v>Excellent</v>
      </c>
      <c r="I40" t="str" cm="1">
        <f t="array" ref="I40">_xlfn.IFS(H40="Poor","Below Target",  H40="Average","Near Target",  H40="Good","Target Achieved", H40="Excellent","Target Exceeded")</f>
        <v>Target Exceeded</v>
      </c>
    </row>
    <row r="41" spans="1:9" x14ac:dyDescent="0.3">
      <c r="A41" s="2" t="s">
        <v>316</v>
      </c>
      <c r="B41" s="2" t="s">
        <v>49</v>
      </c>
      <c r="C41" s="2" t="s">
        <v>56</v>
      </c>
      <c r="D41" s="12" t="s">
        <v>193</v>
      </c>
      <c r="E41" s="7">
        <v>1964336</v>
      </c>
      <c r="F41" s="7">
        <v>1316514</v>
      </c>
      <c r="G41" s="8">
        <f>F41/E41</f>
        <v>0.67020815176222392</v>
      </c>
      <c r="H41" s="2" t="str" cm="1">
        <f t="array" ref="H41">_xlfn.IFS(G41&gt;=106%,"Excellent", G41&gt;=100%,"Good", G41&gt;=80%,"Average", G41&lt;80%,"Poor")</f>
        <v>Poor</v>
      </c>
      <c r="I41" t="str" cm="1">
        <f t="array" ref="I41">_xlfn.IFS(H41="Poor","Below Target",  H41="Average","Near Target",  H41="Good","Target Achieved", H41="Excellent","Target Exceeded")</f>
        <v>Below Target</v>
      </c>
    </row>
    <row r="42" spans="1:9" x14ac:dyDescent="0.3">
      <c r="A42" s="2" t="s">
        <v>267</v>
      </c>
      <c r="B42" s="2" t="s">
        <v>49</v>
      </c>
      <c r="C42" s="2" t="s">
        <v>9</v>
      </c>
      <c r="D42" s="12" t="s">
        <v>268</v>
      </c>
      <c r="E42" s="7">
        <v>1984822</v>
      </c>
      <c r="F42" s="7">
        <v>1420162</v>
      </c>
      <c r="G42" s="8">
        <f>F42/E42</f>
        <v>0.71551101307825082</v>
      </c>
      <c r="H42" s="2" t="str" cm="1">
        <f t="array" ref="H42">_xlfn.IFS(G42&gt;=106%,"Excellent", G42&gt;=100%,"Good", G42&gt;=80%,"Average", G42&lt;80%,"Poor")</f>
        <v>Poor</v>
      </c>
      <c r="I42" t="str" cm="1">
        <f t="array" ref="I42">_xlfn.IFS(H42="Poor","Below Target",  H42="Average","Near Target",  H42="Good","Target Achieved", H42="Excellent","Target Exceeded")</f>
        <v>Below Target</v>
      </c>
    </row>
    <row r="43" spans="1:9" x14ac:dyDescent="0.3">
      <c r="A43" s="2" t="s">
        <v>402</v>
      </c>
      <c r="B43" s="2" t="s">
        <v>17</v>
      </c>
      <c r="C43" s="2" t="s">
        <v>24</v>
      </c>
      <c r="D43" s="12" t="s">
        <v>268</v>
      </c>
      <c r="E43" s="7">
        <v>1056516</v>
      </c>
      <c r="F43" s="7">
        <v>409888</v>
      </c>
      <c r="G43" s="8">
        <f>F43/E43</f>
        <v>0.38796194283853724</v>
      </c>
      <c r="H43" s="2" t="str" cm="1">
        <f t="array" ref="H43">_xlfn.IFS(G43&gt;=106%,"Excellent", G43&gt;=100%,"Good", G43&gt;=80%,"Average", G43&lt;80%,"Poor")</f>
        <v>Poor</v>
      </c>
      <c r="I43" t="str" cm="1">
        <f t="array" ref="I43">_xlfn.IFS(H43="Poor","Below Target",  H43="Average","Near Target",  H43="Good","Target Achieved", H43="Excellent","Target Exceeded")</f>
        <v>Below Target</v>
      </c>
    </row>
    <row r="44" spans="1:9" x14ac:dyDescent="0.3">
      <c r="A44" s="2" t="s">
        <v>411</v>
      </c>
      <c r="B44" s="2" t="s">
        <v>37</v>
      </c>
      <c r="C44" s="2" t="s">
        <v>13</v>
      </c>
      <c r="D44" s="12" t="s">
        <v>268</v>
      </c>
      <c r="E44" s="7">
        <v>811078</v>
      </c>
      <c r="F44" s="7">
        <v>437745</v>
      </c>
      <c r="G44" s="8">
        <f>F44/E44</f>
        <v>0.53970764833961715</v>
      </c>
      <c r="H44" s="2" t="str" cm="1">
        <f t="array" ref="H44">_xlfn.IFS(G44&gt;=106%,"Excellent", G44&gt;=100%,"Good", G44&gt;=80%,"Average", G44&lt;80%,"Poor")</f>
        <v>Poor</v>
      </c>
      <c r="I44" t="str" cm="1">
        <f t="array" ref="I44">_xlfn.IFS(H44="Poor","Below Target",  H44="Average","Near Target",  H44="Good","Target Achieved", H44="Excellent","Target Exceeded")</f>
        <v>Below Target</v>
      </c>
    </row>
    <row r="45" spans="1:9" x14ac:dyDescent="0.3">
      <c r="A45" s="2" t="s">
        <v>219</v>
      </c>
      <c r="B45" s="2" t="s">
        <v>17</v>
      </c>
      <c r="C45" s="2" t="s">
        <v>9</v>
      </c>
      <c r="D45" s="12" t="s">
        <v>220</v>
      </c>
      <c r="E45" s="7">
        <v>1847943</v>
      </c>
      <c r="F45" s="7">
        <v>1198866</v>
      </c>
      <c r="G45" s="8">
        <f>F45/E45</f>
        <v>0.64875702334974616</v>
      </c>
      <c r="H45" s="2" t="str" cm="1">
        <f t="array" ref="H45">_xlfn.IFS(G45&gt;=106%,"Excellent", G45&gt;=100%,"Good", G45&gt;=80%,"Average", G45&lt;80%,"Poor")</f>
        <v>Poor</v>
      </c>
      <c r="I45" t="str" cm="1">
        <f t="array" ref="I45">_xlfn.IFS(H45="Poor","Below Target",  H45="Average","Near Target",  H45="Good","Target Achieved", H45="Excellent","Target Exceeded")</f>
        <v>Below Target</v>
      </c>
    </row>
    <row r="46" spans="1:9" x14ac:dyDescent="0.3">
      <c r="A46" s="2" t="s">
        <v>324</v>
      </c>
      <c r="B46" s="2" t="s">
        <v>42</v>
      </c>
      <c r="C46" s="2" t="s">
        <v>24</v>
      </c>
      <c r="D46" s="12" t="s">
        <v>220</v>
      </c>
      <c r="E46" s="7">
        <v>1756985</v>
      </c>
      <c r="F46" s="7">
        <v>1365858</v>
      </c>
      <c r="G46" s="8">
        <f>F46/E46</f>
        <v>0.77738739943710389</v>
      </c>
      <c r="H46" s="2" t="str" cm="1">
        <f t="array" ref="H46">_xlfn.IFS(G46&gt;=106%,"Excellent", G46&gt;=100%,"Good", G46&gt;=80%,"Average", G46&lt;80%,"Poor")</f>
        <v>Poor</v>
      </c>
      <c r="I46" t="str" cm="1">
        <f t="array" ref="I46">_xlfn.IFS(H46="Poor","Below Target",  H46="Average","Near Target",  H46="Good","Target Achieved", H46="Excellent","Target Exceeded")</f>
        <v>Below Target</v>
      </c>
    </row>
    <row r="47" spans="1:9" x14ac:dyDescent="0.3">
      <c r="A47" s="2" t="s">
        <v>445</v>
      </c>
      <c r="B47" s="2" t="s">
        <v>17</v>
      </c>
      <c r="C47" s="2" t="s">
        <v>24</v>
      </c>
      <c r="D47" s="12" t="s">
        <v>446</v>
      </c>
      <c r="E47" s="7">
        <v>1132122</v>
      </c>
      <c r="F47" s="7">
        <v>742989</v>
      </c>
      <c r="G47" s="8">
        <f>F47/E47</f>
        <v>0.6562799768929497</v>
      </c>
      <c r="H47" s="2" t="str" cm="1">
        <f t="array" ref="H47">_xlfn.IFS(G47&gt;=106%,"Excellent", G47&gt;=100%,"Good", G47&gt;=80%,"Average", G47&lt;80%,"Poor")</f>
        <v>Poor</v>
      </c>
      <c r="I47" t="str" cm="1">
        <f t="array" ref="I47">_xlfn.IFS(H47="Poor","Below Target",  H47="Average","Near Target",  H47="Good","Target Achieved", H47="Excellent","Target Exceeded")</f>
        <v>Below Target</v>
      </c>
    </row>
    <row r="48" spans="1:9" x14ac:dyDescent="0.3">
      <c r="A48" s="2" t="s">
        <v>55</v>
      </c>
      <c r="B48" s="2" t="s">
        <v>42</v>
      </c>
      <c r="C48" s="2" t="s">
        <v>56</v>
      </c>
      <c r="D48" s="12" t="s">
        <v>57</v>
      </c>
      <c r="E48" s="7">
        <v>799623</v>
      </c>
      <c r="F48" s="7">
        <v>855493</v>
      </c>
      <c r="G48" s="8">
        <f>F48/E48</f>
        <v>1.0698704264384591</v>
      </c>
      <c r="H48" s="2" t="str" cm="1">
        <f t="array" ref="H48">_xlfn.IFS(G48&gt;=106%,"Excellent", G48&gt;=100%,"Good", G48&gt;=80%,"Average", G48&lt;80%,"Poor")</f>
        <v>Excellent</v>
      </c>
      <c r="I48" t="str" cm="1">
        <f t="array" ref="I48">_xlfn.IFS(H48="Poor","Below Target",  H48="Average","Near Target",  H48="Good","Target Achieved", H48="Excellent","Target Exceeded")</f>
        <v>Target Exceeded</v>
      </c>
    </row>
    <row r="49" spans="1:9" x14ac:dyDescent="0.3">
      <c r="A49" s="2" t="s">
        <v>104</v>
      </c>
      <c r="B49" s="2" t="s">
        <v>20</v>
      </c>
      <c r="C49" s="2" t="s">
        <v>24</v>
      </c>
      <c r="D49" s="12" t="s">
        <v>57</v>
      </c>
      <c r="E49" s="7">
        <v>1624672</v>
      </c>
      <c r="F49" s="7">
        <v>1240810</v>
      </c>
      <c r="G49" s="8">
        <f>F49/E49</f>
        <v>0.7637295404857104</v>
      </c>
      <c r="H49" s="2" t="str" cm="1">
        <f t="array" ref="H49">_xlfn.IFS(G49&gt;=106%,"Excellent", G49&gt;=100%,"Good", G49&gt;=80%,"Average", G49&lt;80%,"Poor")</f>
        <v>Poor</v>
      </c>
      <c r="I49" t="str" cm="1">
        <f t="array" ref="I49">_xlfn.IFS(H49="Poor","Below Target",  H49="Average","Near Target",  H49="Good","Target Achieved", H49="Excellent","Target Exceeded")</f>
        <v>Below Target</v>
      </c>
    </row>
    <row r="50" spans="1:9" x14ac:dyDescent="0.3">
      <c r="A50" s="2" t="s">
        <v>372</v>
      </c>
      <c r="B50" s="2" t="s">
        <v>37</v>
      </c>
      <c r="C50" s="2" t="s">
        <v>9</v>
      </c>
      <c r="D50" s="12" t="s">
        <v>373</v>
      </c>
      <c r="E50" s="7">
        <v>1482162</v>
      </c>
      <c r="F50" s="7">
        <v>457914</v>
      </c>
      <c r="G50" s="8">
        <f>F50/E50</f>
        <v>0.30895003380197306</v>
      </c>
      <c r="H50" s="2" t="str" cm="1">
        <f t="array" ref="H50">_xlfn.IFS(G50&gt;=106%,"Excellent", G50&gt;=100%,"Good", G50&gt;=80%,"Average", G50&lt;80%,"Poor")</f>
        <v>Poor</v>
      </c>
      <c r="I50" t="str" cm="1">
        <f t="array" ref="I50">_xlfn.IFS(H50="Poor","Below Target",  H50="Average","Near Target",  H50="Good","Target Achieved", H50="Excellent","Target Exceeded")</f>
        <v>Below Target</v>
      </c>
    </row>
    <row r="51" spans="1:9" x14ac:dyDescent="0.3">
      <c r="A51" s="2" t="s">
        <v>432</v>
      </c>
      <c r="B51" s="2" t="s">
        <v>37</v>
      </c>
      <c r="C51" s="2" t="s">
        <v>31</v>
      </c>
      <c r="D51" s="12" t="s">
        <v>433</v>
      </c>
      <c r="E51" s="7">
        <v>512804</v>
      </c>
      <c r="F51" s="7">
        <v>680435</v>
      </c>
      <c r="G51" s="8">
        <f>F51/E51</f>
        <v>1.3268909758894236</v>
      </c>
      <c r="H51" s="2" t="str" cm="1">
        <f t="array" ref="H51">_xlfn.IFS(G51&gt;=106%,"Excellent", G51&gt;=100%,"Good", G51&gt;=80%,"Average", G51&lt;80%,"Poor")</f>
        <v>Excellent</v>
      </c>
      <c r="I51" t="str" cm="1">
        <f t="array" ref="I51">_xlfn.IFS(H51="Poor","Below Target",  H51="Average","Near Target",  H51="Good","Target Achieved", H51="Excellent","Target Exceeded")</f>
        <v>Target Exceeded</v>
      </c>
    </row>
    <row r="52" spans="1:9" x14ac:dyDescent="0.3">
      <c r="A52" s="2" t="s">
        <v>147</v>
      </c>
      <c r="B52" s="2" t="s">
        <v>17</v>
      </c>
      <c r="C52" s="2" t="s">
        <v>31</v>
      </c>
      <c r="D52" s="12" t="s">
        <v>148</v>
      </c>
      <c r="E52" s="7">
        <v>1721611</v>
      </c>
      <c r="F52" s="7">
        <v>1458729</v>
      </c>
      <c r="G52" s="8">
        <f>F52/E52</f>
        <v>0.84730464663620297</v>
      </c>
      <c r="H52" s="2" t="str" cm="1">
        <f t="array" ref="H52">_xlfn.IFS(G52&gt;=106%,"Excellent", G52&gt;=100%,"Good", G52&gt;=80%,"Average", G52&lt;80%,"Poor")</f>
        <v>Average</v>
      </c>
      <c r="I52" t="str" cm="1">
        <f t="array" ref="I52">_xlfn.IFS(H52="Poor","Below Target",  H52="Average","Near Target",  H52="Good","Target Achieved", H52="Excellent","Target Exceeded")</f>
        <v>Near Target</v>
      </c>
    </row>
    <row r="53" spans="1:9" x14ac:dyDescent="0.3">
      <c r="A53" s="2" t="s">
        <v>72</v>
      </c>
      <c r="B53" s="2" t="s">
        <v>49</v>
      </c>
      <c r="C53" s="2" t="s">
        <v>13</v>
      </c>
      <c r="D53" s="12" t="s">
        <v>73</v>
      </c>
      <c r="E53" s="7">
        <v>1777103</v>
      </c>
      <c r="F53" s="7">
        <v>717146</v>
      </c>
      <c r="G53" s="8">
        <f>F53/E53</f>
        <v>0.40354779661055101</v>
      </c>
      <c r="H53" s="2" t="str" cm="1">
        <f t="array" ref="H53">_xlfn.IFS(G53&gt;=106%,"Excellent", G53&gt;=100%,"Good", G53&gt;=80%,"Average", G53&lt;80%,"Poor")</f>
        <v>Poor</v>
      </c>
      <c r="I53" t="str" cm="1">
        <f t="array" ref="I53">_xlfn.IFS(H53="Poor","Below Target",  H53="Average","Near Target",  H53="Good","Target Achieved", H53="Excellent","Target Exceeded")</f>
        <v>Below Target</v>
      </c>
    </row>
    <row r="54" spans="1:9" x14ac:dyDescent="0.3">
      <c r="A54" s="2" t="s">
        <v>68</v>
      </c>
      <c r="B54" s="2" t="s">
        <v>37</v>
      </c>
      <c r="C54" s="2" t="s">
        <v>9</v>
      </c>
      <c r="D54" s="12" t="s">
        <v>69</v>
      </c>
      <c r="E54" s="7">
        <v>1115514</v>
      </c>
      <c r="F54" s="7">
        <v>1211768</v>
      </c>
      <c r="G54" s="8">
        <f>F54/E54</f>
        <v>1.086286680400246</v>
      </c>
      <c r="H54" s="2" t="str" cm="1">
        <f t="array" ref="H54">_xlfn.IFS(G54&gt;=106%,"Excellent", G54&gt;=100%,"Good", G54&gt;=80%,"Average", G54&lt;80%,"Poor")</f>
        <v>Excellent</v>
      </c>
      <c r="I54" t="str" cm="1">
        <f t="array" ref="I54">_xlfn.IFS(H54="Poor","Below Target",  H54="Average","Near Target",  H54="Good","Target Achieved", H54="Excellent","Target Exceeded")</f>
        <v>Target Exceeded</v>
      </c>
    </row>
    <row r="55" spans="1:9" x14ac:dyDescent="0.3">
      <c r="A55" s="2" t="s">
        <v>284</v>
      </c>
      <c r="B55" s="2" t="s">
        <v>20</v>
      </c>
      <c r="C55" s="2" t="s">
        <v>24</v>
      </c>
      <c r="D55" s="12" t="s">
        <v>69</v>
      </c>
      <c r="E55" s="7">
        <v>1657611</v>
      </c>
      <c r="F55" s="7">
        <v>457422</v>
      </c>
      <c r="G55" s="8">
        <f>F55/E55</f>
        <v>0.27595256064299767</v>
      </c>
      <c r="H55" s="2" t="str" cm="1">
        <f t="array" ref="H55">_xlfn.IFS(G55&gt;=106%,"Excellent", G55&gt;=100%,"Good", G55&gt;=80%,"Average", G55&lt;80%,"Poor")</f>
        <v>Poor</v>
      </c>
      <c r="I55" t="str" cm="1">
        <f t="array" ref="I55">_xlfn.IFS(H55="Poor","Below Target",  H55="Average","Near Target",  H55="Good","Target Achieved", H55="Excellent","Target Exceeded")</f>
        <v>Below Target</v>
      </c>
    </row>
    <row r="56" spans="1:9" x14ac:dyDescent="0.3">
      <c r="A56" s="2" t="s">
        <v>436</v>
      </c>
      <c r="B56" s="2" t="s">
        <v>42</v>
      </c>
      <c r="C56" s="2" t="s">
        <v>56</v>
      </c>
      <c r="D56" s="12" t="s">
        <v>69</v>
      </c>
      <c r="E56" s="7">
        <v>1451364</v>
      </c>
      <c r="F56" s="7">
        <v>1014910</v>
      </c>
      <c r="G56" s="8">
        <f>F56/E56</f>
        <v>0.6992801254544001</v>
      </c>
      <c r="H56" s="2" t="str" cm="1">
        <f t="array" ref="H56">_xlfn.IFS(G56&gt;=106%,"Excellent", G56&gt;=100%,"Good", G56&gt;=80%,"Average", G56&lt;80%,"Poor")</f>
        <v>Poor</v>
      </c>
      <c r="I56" t="str" cm="1">
        <f t="array" ref="I56">_xlfn.IFS(H56="Poor","Below Target",  H56="Average","Near Target",  H56="Good","Target Achieved", H56="Excellent","Target Exceeded")</f>
        <v>Below Target</v>
      </c>
    </row>
    <row r="57" spans="1:9" x14ac:dyDescent="0.3">
      <c r="A57" s="2" t="s">
        <v>62</v>
      </c>
      <c r="B57" s="2" t="s">
        <v>17</v>
      </c>
      <c r="C57" s="2" t="s">
        <v>9</v>
      </c>
      <c r="D57" s="12" t="s">
        <v>63</v>
      </c>
      <c r="E57" s="7">
        <v>820531</v>
      </c>
      <c r="F57" s="7">
        <v>1615849</v>
      </c>
      <c r="G57" s="8">
        <f>F57/E57</f>
        <v>1.969272337059782</v>
      </c>
      <c r="H57" s="2" t="str" cm="1">
        <f t="array" ref="H57">_xlfn.IFS(G57&gt;=106%,"Excellent", G57&gt;=100%,"Good", G57&gt;=80%,"Average", G57&lt;80%,"Poor")</f>
        <v>Excellent</v>
      </c>
      <c r="I57" t="str" cm="1">
        <f t="array" ref="I57">_xlfn.IFS(H57="Poor","Below Target",  H57="Average","Near Target",  H57="Good","Target Achieved", H57="Excellent","Target Exceeded")</f>
        <v>Target Exceeded</v>
      </c>
    </row>
    <row r="58" spans="1:9" x14ac:dyDescent="0.3">
      <c r="A58" s="2" t="s">
        <v>293</v>
      </c>
      <c r="B58" s="2" t="s">
        <v>49</v>
      </c>
      <c r="C58" s="2" t="s">
        <v>24</v>
      </c>
      <c r="D58" s="12" t="s">
        <v>294</v>
      </c>
      <c r="E58" s="7">
        <v>649757</v>
      </c>
      <c r="F58" s="7">
        <v>425070</v>
      </c>
      <c r="G58" s="8">
        <f>F58/E58</f>
        <v>0.65419841571541359</v>
      </c>
      <c r="H58" s="2" t="str" cm="1">
        <f t="array" ref="H58">_xlfn.IFS(G58&gt;=106%,"Excellent", G58&gt;=100%,"Good", G58&gt;=80%,"Average", G58&lt;80%,"Poor")</f>
        <v>Poor</v>
      </c>
      <c r="I58" t="str" cm="1">
        <f t="array" ref="I58">_xlfn.IFS(H58="Poor","Below Target",  H58="Average","Near Target",  H58="Good","Target Achieved", H58="Excellent","Target Exceeded")</f>
        <v>Below Target</v>
      </c>
    </row>
    <row r="59" spans="1:9" x14ac:dyDescent="0.3">
      <c r="A59" s="2" t="s">
        <v>302</v>
      </c>
      <c r="B59" s="2" t="s">
        <v>49</v>
      </c>
      <c r="C59" s="2" t="s">
        <v>13</v>
      </c>
      <c r="D59" s="12" t="s">
        <v>303</v>
      </c>
      <c r="E59" s="7">
        <v>584371</v>
      </c>
      <c r="F59" s="7">
        <v>1900355</v>
      </c>
      <c r="G59" s="8">
        <f>F59/E59</f>
        <v>3.2519666444775663</v>
      </c>
      <c r="H59" s="2" t="str" cm="1">
        <f t="array" ref="H59">_xlfn.IFS(G59&gt;=106%,"Excellent", G59&gt;=100%,"Good", G59&gt;=80%,"Average", G59&lt;80%,"Poor")</f>
        <v>Excellent</v>
      </c>
      <c r="I59" t="str" cm="1">
        <f t="array" ref="I59">_xlfn.IFS(H59="Poor","Below Target",  H59="Average","Near Target",  H59="Good","Target Achieved", H59="Excellent","Target Exceeded")</f>
        <v>Target Exceeded</v>
      </c>
    </row>
    <row r="60" spans="1:9" x14ac:dyDescent="0.3">
      <c r="A60" s="2" t="s">
        <v>399</v>
      </c>
      <c r="B60" s="2" t="s">
        <v>27</v>
      </c>
      <c r="C60" s="2" t="s">
        <v>13</v>
      </c>
      <c r="D60" s="12" t="s">
        <v>303</v>
      </c>
      <c r="E60" s="7">
        <v>1025659</v>
      </c>
      <c r="F60" s="7">
        <v>1974604</v>
      </c>
      <c r="G60" s="8">
        <f>F60/E60</f>
        <v>1.9252051607795573</v>
      </c>
      <c r="H60" s="2" t="str" cm="1">
        <f t="array" ref="H60">_xlfn.IFS(G60&gt;=106%,"Excellent", G60&gt;=100%,"Good", G60&gt;=80%,"Average", G60&lt;80%,"Poor")</f>
        <v>Excellent</v>
      </c>
      <c r="I60" t="str" cm="1">
        <f t="array" ref="I60">_xlfn.IFS(H60="Poor","Below Target",  H60="Average","Near Target",  H60="Good","Target Achieved", H60="Excellent","Target Exceeded")</f>
        <v>Target Exceeded</v>
      </c>
    </row>
    <row r="61" spans="1:9" x14ac:dyDescent="0.3">
      <c r="A61" s="2" t="s">
        <v>152</v>
      </c>
      <c r="B61" s="2" t="s">
        <v>27</v>
      </c>
      <c r="C61" s="2" t="s">
        <v>24</v>
      </c>
      <c r="D61" s="12" t="s">
        <v>153</v>
      </c>
      <c r="E61" s="7">
        <v>840790</v>
      </c>
      <c r="F61" s="7">
        <v>1977484</v>
      </c>
      <c r="G61" s="8">
        <f>F61/E61</f>
        <v>2.3519356795394808</v>
      </c>
      <c r="H61" s="2" t="str" cm="1">
        <f t="array" ref="H61">_xlfn.IFS(G61&gt;=106%,"Excellent", G61&gt;=100%,"Good", G61&gt;=80%,"Average", G61&lt;80%,"Poor")</f>
        <v>Excellent</v>
      </c>
      <c r="I61" t="str" cm="1">
        <f t="array" ref="I61">_xlfn.IFS(H61="Poor","Below Target",  H61="Average","Near Target",  H61="Good","Target Achieved", H61="Excellent","Target Exceeded")</f>
        <v>Target Exceeded</v>
      </c>
    </row>
    <row r="62" spans="1:9" x14ac:dyDescent="0.3">
      <c r="A62" s="2" t="s">
        <v>70</v>
      </c>
      <c r="B62" s="2" t="s">
        <v>17</v>
      </c>
      <c r="C62" s="2" t="s">
        <v>31</v>
      </c>
      <c r="D62" s="12" t="s">
        <v>71</v>
      </c>
      <c r="E62" s="7">
        <v>1549805</v>
      </c>
      <c r="F62" s="7">
        <v>1897950</v>
      </c>
      <c r="G62" s="8">
        <f>F62/E62</f>
        <v>1.2246379383212727</v>
      </c>
      <c r="H62" s="2" t="str" cm="1">
        <f t="array" ref="H62">_xlfn.IFS(G62&gt;=106%,"Excellent", G62&gt;=100%,"Good", G62&gt;=80%,"Average", G62&lt;80%,"Poor")</f>
        <v>Excellent</v>
      </c>
      <c r="I62" t="str" cm="1">
        <f t="array" ref="I62">_xlfn.IFS(H62="Poor","Below Target",  H62="Average","Near Target",  H62="Good","Target Achieved", H62="Excellent","Target Exceeded")</f>
        <v>Target Exceeded</v>
      </c>
    </row>
    <row r="63" spans="1:9" x14ac:dyDescent="0.3">
      <c r="A63" s="2" t="s">
        <v>119</v>
      </c>
      <c r="B63" s="2" t="s">
        <v>17</v>
      </c>
      <c r="C63" s="2" t="s">
        <v>13</v>
      </c>
      <c r="D63" s="12" t="s">
        <v>120</v>
      </c>
      <c r="E63" s="7">
        <v>668005</v>
      </c>
      <c r="F63" s="7">
        <v>2085394</v>
      </c>
      <c r="G63" s="8">
        <f>F63/E63</f>
        <v>3.1218239384435744</v>
      </c>
      <c r="H63" s="2" t="str" cm="1">
        <f t="array" ref="H63">_xlfn.IFS(G63&gt;=106%,"Excellent", G63&gt;=100%,"Good", G63&gt;=80%,"Average", G63&lt;80%,"Poor")</f>
        <v>Excellent</v>
      </c>
      <c r="I63" t="str" cm="1">
        <f t="array" ref="I63">_xlfn.IFS(H63="Poor","Below Target",  H63="Average","Near Target",  H63="Good","Target Achieved", H63="Excellent","Target Exceeded")</f>
        <v>Target Exceeded</v>
      </c>
    </row>
    <row r="64" spans="1:9" x14ac:dyDescent="0.3">
      <c r="A64" s="2" t="s">
        <v>330</v>
      </c>
      <c r="B64" s="2" t="s">
        <v>42</v>
      </c>
      <c r="C64" s="2" t="s">
        <v>56</v>
      </c>
      <c r="D64" s="12" t="s">
        <v>331</v>
      </c>
      <c r="E64" s="7">
        <v>1174816</v>
      </c>
      <c r="F64" s="7">
        <v>2123686</v>
      </c>
      <c r="G64" s="8">
        <f>F64/E64</f>
        <v>1.8076754147032386</v>
      </c>
      <c r="H64" s="2" t="str" cm="1">
        <f t="array" ref="H64">_xlfn.IFS(G64&gt;=106%,"Excellent", G64&gt;=100%,"Good", G64&gt;=80%,"Average", G64&lt;80%,"Poor")</f>
        <v>Excellent</v>
      </c>
      <c r="I64" t="str" cm="1">
        <f t="array" ref="I64">_xlfn.IFS(H64="Poor","Below Target",  H64="Average","Near Target",  H64="Good","Target Achieved", H64="Excellent","Target Exceeded")</f>
        <v>Target Exceeded</v>
      </c>
    </row>
    <row r="65" spans="1:9" x14ac:dyDescent="0.3">
      <c r="A65" s="2" t="s">
        <v>391</v>
      </c>
      <c r="B65" s="2" t="s">
        <v>37</v>
      </c>
      <c r="C65" s="2" t="s">
        <v>9</v>
      </c>
      <c r="D65" s="12" t="s">
        <v>392</v>
      </c>
      <c r="E65" s="7">
        <v>1334959</v>
      </c>
      <c r="F65" s="7">
        <v>878565</v>
      </c>
      <c r="G65" s="8">
        <f>F65/E65</f>
        <v>0.65812133556161645</v>
      </c>
      <c r="H65" s="2" t="str" cm="1">
        <f t="array" ref="H65">_xlfn.IFS(G65&gt;=106%,"Excellent", G65&gt;=100%,"Good", G65&gt;=80%,"Average", G65&lt;80%,"Poor")</f>
        <v>Poor</v>
      </c>
      <c r="I65" t="str" cm="1">
        <f t="array" ref="I65">_xlfn.IFS(H65="Poor","Below Target",  H65="Average","Near Target",  H65="Good","Target Achieved", H65="Excellent","Target Exceeded")</f>
        <v>Below Target</v>
      </c>
    </row>
    <row r="66" spans="1:9" x14ac:dyDescent="0.3">
      <c r="A66" s="2" t="s">
        <v>188</v>
      </c>
      <c r="B66" s="2" t="s">
        <v>34</v>
      </c>
      <c r="C66" s="2" t="s">
        <v>56</v>
      </c>
      <c r="D66" s="12" t="s">
        <v>189</v>
      </c>
      <c r="E66" s="7">
        <v>1820713</v>
      </c>
      <c r="F66" s="7">
        <v>1507269</v>
      </c>
      <c r="G66" s="8">
        <f>F66/E66</f>
        <v>0.82784546493598932</v>
      </c>
      <c r="H66" s="2" t="str" cm="1">
        <f t="array" ref="H66">_xlfn.IFS(G66&gt;=106%,"Excellent", G66&gt;=100%,"Good", G66&gt;=80%,"Average", G66&lt;80%,"Poor")</f>
        <v>Average</v>
      </c>
      <c r="I66" t="str" cm="1">
        <f t="array" ref="I66">_xlfn.IFS(H66="Poor","Below Target",  H66="Average","Near Target",  H66="Good","Target Achieved", H66="Excellent","Target Exceeded")</f>
        <v>Near Target</v>
      </c>
    </row>
    <row r="67" spans="1:9" x14ac:dyDescent="0.3">
      <c r="A67" s="2" t="s">
        <v>138</v>
      </c>
      <c r="B67" s="2" t="s">
        <v>27</v>
      </c>
      <c r="C67" s="2" t="s">
        <v>31</v>
      </c>
      <c r="D67" s="12" t="s">
        <v>139</v>
      </c>
      <c r="E67" s="7">
        <v>1090885</v>
      </c>
      <c r="F67" s="7">
        <v>1568420</v>
      </c>
      <c r="G67" s="8">
        <f>F67/E67</f>
        <v>1.4377500836476806</v>
      </c>
      <c r="H67" s="2" t="str" cm="1">
        <f t="array" ref="H67">_xlfn.IFS(G67&gt;=106%,"Excellent", G67&gt;=100%,"Good", G67&gt;=80%,"Average", G67&lt;80%,"Poor")</f>
        <v>Excellent</v>
      </c>
      <c r="I67" t="str" cm="1">
        <f t="array" ref="I67">_xlfn.IFS(H67="Poor","Below Target",  H67="Average","Near Target",  H67="Good","Target Achieved", H67="Excellent","Target Exceeded")</f>
        <v>Target Exceeded</v>
      </c>
    </row>
    <row r="68" spans="1:9" x14ac:dyDescent="0.3">
      <c r="A68" s="2" t="s">
        <v>94</v>
      </c>
      <c r="B68" s="2" t="s">
        <v>20</v>
      </c>
      <c r="C68" s="2" t="s">
        <v>31</v>
      </c>
      <c r="D68" s="12" t="s">
        <v>95</v>
      </c>
      <c r="E68" s="7">
        <v>1902948</v>
      </c>
      <c r="F68" s="7">
        <v>1317987</v>
      </c>
      <c r="G68" s="8">
        <f>F68/E68</f>
        <v>0.69260274058986371</v>
      </c>
      <c r="H68" s="2" t="str" cm="1">
        <f t="array" ref="H68">_xlfn.IFS(G68&gt;=106%,"Excellent", G68&gt;=100%,"Good", G68&gt;=80%,"Average", G68&lt;80%,"Poor")</f>
        <v>Poor</v>
      </c>
      <c r="I68" t="str" cm="1">
        <f t="array" ref="I68">_xlfn.IFS(H68="Poor","Below Target",  H68="Average","Near Target",  H68="Good","Target Achieved", H68="Excellent","Target Exceeded")</f>
        <v>Below Target</v>
      </c>
    </row>
    <row r="69" spans="1:9" x14ac:dyDescent="0.3">
      <c r="A69" s="2" t="s">
        <v>181</v>
      </c>
      <c r="B69" s="2" t="s">
        <v>34</v>
      </c>
      <c r="C69" s="2" t="s">
        <v>56</v>
      </c>
      <c r="D69" s="12" t="s">
        <v>95</v>
      </c>
      <c r="E69" s="7">
        <v>1427276</v>
      </c>
      <c r="F69" s="7">
        <v>1716893</v>
      </c>
      <c r="G69" s="8">
        <f>F69/E69</f>
        <v>1.2029159041418758</v>
      </c>
      <c r="H69" s="2" t="str" cm="1">
        <f t="array" ref="H69">_xlfn.IFS(G69&gt;=106%,"Excellent", G69&gt;=100%,"Good", G69&gt;=80%,"Average", G69&lt;80%,"Poor")</f>
        <v>Excellent</v>
      </c>
      <c r="I69" t="str" cm="1">
        <f t="array" ref="I69">_xlfn.IFS(H69="Poor","Below Target",  H69="Average","Near Target",  H69="Good","Target Achieved", H69="Excellent","Target Exceeded")</f>
        <v>Target Exceeded</v>
      </c>
    </row>
    <row r="70" spans="1:9" x14ac:dyDescent="0.3">
      <c r="A70" s="2" t="s">
        <v>396</v>
      </c>
      <c r="B70" s="2" t="s">
        <v>8</v>
      </c>
      <c r="C70" s="2" t="s">
        <v>13</v>
      </c>
      <c r="D70" s="12" t="s">
        <v>397</v>
      </c>
      <c r="E70" s="7">
        <v>934440</v>
      </c>
      <c r="F70" s="7">
        <v>1529734</v>
      </c>
      <c r="G70" s="8">
        <f>F70/E70</f>
        <v>1.637059629296691</v>
      </c>
      <c r="H70" s="2" t="str" cm="1">
        <f t="array" ref="H70">_xlfn.IFS(G70&gt;=106%,"Excellent", G70&gt;=100%,"Good", G70&gt;=80%,"Average", G70&lt;80%,"Poor")</f>
        <v>Excellent</v>
      </c>
      <c r="I70" t="str" cm="1">
        <f t="array" ref="I70">_xlfn.IFS(H70="Poor","Below Target",  H70="Average","Near Target",  H70="Good","Target Achieved", H70="Excellent","Target Exceeded")</f>
        <v>Target Exceeded</v>
      </c>
    </row>
    <row r="71" spans="1:9" x14ac:dyDescent="0.3">
      <c r="A71" s="2" t="s">
        <v>388</v>
      </c>
      <c r="B71" s="2" t="s">
        <v>49</v>
      </c>
      <c r="C71" s="2" t="s">
        <v>9</v>
      </c>
      <c r="D71" s="12" t="s">
        <v>389</v>
      </c>
      <c r="E71" s="7">
        <v>1947623</v>
      </c>
      <c r="F71" s="7">
        <v>1077057</v>
      </c>
      <c r="G71" s="8">
        <f>F71/E71</f>
        <v>0.55301102934192092</v>
      </c>
      <c r="H71" s="2" t="str" cm="1">
        <f t="array" ref="H71">_xlfn.IFS(G71&gt;=106%,"Excellent", G71&gt;=100%,"Good", G71&gt;=80%,"Average", G71&lt;80%,"Poor")</f>
        <v>Poor</v>
      </c>
      <c r="I71" t="str" cm="1">
        <f t="array" ref="I71">_xlfn.IFS(H71="Poor","Below Target",  H71="Average","Near Target",  H71="Good","Target Achieved", H71="Excellent","Target Exceeded")</f>
        <v>Below Target</v>
      </c>
    </row>
    <row r="72" spans="1:9" x14ac:dyDescent="0.3">
      <c r="A72" s="2" t="s">
        <v>7</v>
      </c>
      <c r="B72" s="2" t="s">
        <v>8</v>
      </c>
      <c r="C72" s="2" t="s">
        <v>9</v>
      </c>
      <c r="D72" s="12" t="s">
        <v>10</v>
      </c>
      <c r="E72" s="7">
        <v>1076778</v>
      </c>
      <c r="F72" s="7">
        <v>813575</v>
      </c>
      <c r="G72" s="8">
        <f>F72/E72</f>
        <v>0.75556428530300579</v>
      </c>
      <c r="H72" s="2" t="str" cm="1">
        <f t="array" ref="H72">_xlfn.IFS(G72&gt;=106%,"Excellent", G72&gt;=100%,"Good", G72&gt;=80%,"Average", G72&lt;80%,"Poor")</f>
        <v>Poor</v>
      </c>
      <c r="I72" t="str" cm="1">
        <f t="array" ref="I72">_xlfn.IFS(H72="Poor","Below Target",  H72="Average","Near Target",  H72="Good","Target Achieved", H72="Excellent","Target Exceeded")</f>
        <v>Below Target</v>
      </c>
    </row>
    <row r="73" spans="1:9" x14ac:dyDescent="0.3">
      <c r="A73" s="2" t="s">
        <v>427</v>
      </c>
      <c r="B73" s="2" t="s">
        <v>20</v>
      </c>
      <c r="C73" s="2" t="s">
        <v>24</v>
      </c>
      <c r="D73" s="12" t="s">
        <v>10</v>
      </c>
      <c r="E73" s="7">
        <v>1877275</v>
      </c>
      <c r="F73" s="7">
        <v>1311224</v>
      </c>
      <c r="G73" s="8">
        <f>F73/E73</f>
        <v>0.69847198732204929</v>
      </c>
      <c r="H73" s="2" t="str" cm="1">
        <f t="array" ref="H73">_xlfn.IFS(G73&gt;=106%,"Excellent", G73&gt;=100%,"Good", G73&gt;=80%,"Average", G73&lt;80%,"Poor")</f>
        <v>Poor</v>
      </c>
      <c r="I73" t="str" cm="1">
        <f t="array" ref="I73">_xlfn.IFS(H73="Poor","Below Target",  H73="Average","Near Target",  H73="Good","Target Achieved", H73="Excellent","Target Exceeded")</f>
        <v>Below Target</v>
      </c>
    </row>
    <row r="74" spans="1:9" x14ac:dyDescent="0.3">
      <c r="A74" s="2" t="s">
        <v>184</v>
      </c>
      <c r="B74" s="2" t="s">
        <v>8</v>
      </c>
      <c r="C74" s="2" t="s">
        <v>24</v>
      </c>
      <c r="D74" s="12" t="s">
        <v>185</v>
      </c>
      <c r="E74" s="7">
        <v>1910954</v>
      </c>
      <c r="F74" s="7">
        <v>950996</v>
      </c>
      <c r="G74" s="8">
        <f>F74/E74</f>
        <v>0.49765509792491081</v>
      </c>
      <c r="H74" s="2" t="str" cm="1">
        <f t="array" ref="H74">_xlfn.IFS(G74&gt;=106%,"Excellent", G74&gt;=100%,"Good", G74&gt;=80%,"Average", G74&lt;80%,"Poor")</f>
        <v>Poor</v>
      </c>
      <c r="I74" t="str" cm="1">
        <f t="array" ref="I74">_xlfn.IFS(H74="Poor","Below Target",  H74="Average","Near Target",  H74="Good","Target Achieved", H74="Excellent","Target Exceeded")</f>
        <v>Below Target</v>
      </c>
    </row>
    <row r="75" spans="1:9" x14ac:dyDescent="0.3">
      <c r="A75" s="2" t="s">
        <v>39</v>
      </c>
      <c r="B75" s="2" t="s">
        <v>20</v>
      </c>
      <c r="C75" s="2" t="s">
        <v>31</v>
      </c>
      <c r="D75" s="12" t="s">
        <v>40</v>
      </c>
      <c r="E75" s="7">
        <v>667335</v>
      </c>
      <c r="F75" s="7">
        <v>2093731</v>
      </c>
      <c r="G75" s="8">
        <f>F75/E75</f>
        <v>3.1374512051668204</v>
      </c>
      <c r="H75" s="2" t="str" cm="1">
        <f t="array" ref="H75">_xlfn.IFS(G75&gt;=106%,"Excellent", G75&gt;=100%,"Good", G75&gt;=80%,"Average", G75&lt;80%,"Poor")</f>
        <v>Excellent</v>
      </c>
      <c r="I75" t="str" cm="1">
        <f t="array" ref="I75">_xlfn.IFS(H75="Poor","Below Target",  H75="Average","Near Target",  H75="Good","Target Achieved", H75="Excellent","Target Exceeded")</f>
        <v>Target Exceeded</v>
      </c>
    </row>
    <row r="76" spans="1:9" x14ac:dyDescent="0.3">
      <c r="A76" s="2" t="s">
        <v>378</v>
      </c>
      <c r="B76" s="2" t="s">
        <v>42</v>
      </c>
      <c r="C76" s="2" t="s">
        <v>31</v>
      </c>
      <c r="D76" s="12" t="s">
        <v>40</v>
      </c>
      <c r="E76" s="7">
        <v>727218</v>
      </c>
      <c r="F76" s="7">
        <v>1715234</v>
      </c>
      <c r="G76" s="8">
        <f>F76/E76</f>
        <v>2.3586242364737946</v>
      </c>
      <c r="H76" s="2" t="str" cm="1">
        <f t="array" ref="H76">_xlfn.IFS(G76&gt;=106%,"Excellent", G76&gt;=100%,"Good", G76&gt;=80%,"Average", G76&lt;80%,"Poor")</f>
        <v>Excellent</v>
      </c>
      <c r="I76" t="str" cm="1">
        <f t="array" ref="I76">_xlfn.IFS(H76="Poor","Below Target",  H76="Average","Near Target",  H76="Good","Target Achieved", H76="Excellent","Target Exceeded")</f>
        <v>Target Exceeded</v>
      </c>
    </row>
    <row r="77" spans="1:9" x14ac:dyDescent="0.3">
      <c r="A77" s="2" t="s">
        <v>400</v>
      </c>
      <c r="B77" s="2" t="s">
        <v>17</v>
      </c>
      <c r="C77" s="2" t="s">
        <v>24</v>
      </c>
      <c r="D77" s="12" t="s">
        <v>401</v>
      </c>
      <c r="E77" s="7">
        <v>531164</v>
      </c>
      <c r="F77" s="7">
        <v>1051288</v>
      </c>
      <c r="G77" s="8">
        <f>F77/E77</f>
        <v>1.9792154588789903</v>
      </c>
      <c r="H77" s="2" t="str" cm="1">
        <f t="array" ref="H77">_xlfn.IFS(G77&gt;=106%,"Excellent", G77&gt;=100%,"Good", G77&gt;=80%,"Average", G77&lt;80%,"Poor")</f>
        <v>Excellent</v>
      </c>
      <c r="I77" t="str" cm="1">
        <f t="array" ref="I77">_xlfn.IFS(H77="Poor","Below Target",  H77="Average","Near Target",  H77="Good","Target Achieved", H77="Excellent","Target Exceeded")</f>
        <v>Target Exceeded</v>
      </c>
    </row>
    <row r="78" spans="1:9" x14ac:dyDescent="0.3">
      <c r="A78" s="2" t="s">
        <v>198</v>
      </c>
      <c r="B78" s="2" t="s">
        <v>27</v>
      </c>
      <c r="C78" s="2" t="s">
        <v>56</v>
      </c>
      <c r="D78" s="12" t="s">
        <v>199</v>
      </c>
      <c r="E78" s="7">
        <v>1443864</v>
      </c>
      <c r="F78" s="7">
        <v>843564</v>
      </c>
      <c r="G78" s="8">
        <f>F78/E78</f>
        <v>0.58424062100031582</v>
      </c>
      <c r="H78" s="2" t="str" cm="1">
        <f t="array" ref="H78">_xlfn.IFS(G78&gt;=106%,"Excellent", G78&gt;=100%,"Good", G78&gt;=80%,"Average", G78&lt;80%,"Poor")</f>
        <v>Poor</v>
      </c>
      <c r="I78" t="str" cm="1">
        <f t="array" ref="I78">_xlfn.IFS(H78="Poor","Below Target",  H78="Average","Near Target",  H78="Good","Target Achieved", H78="Excellent","Target Exceeded")</f>
        <v>Below Target</v>
      </c>
    </row>
    <row r="79" spans="1:9" x14ac:dyDescent="0.3">
      <c r="A79" s="2" t="s">
        <v>140</v>
      </c>
      <c r="B79" s="2" t="s">
        <v>20</v>
      </c>
      <c r="C79" s="2" t="s">
        <v>31</v>
      </c>
      <c r="D79" s="12" t="s">
        <v>141</v>
      </c>
      <c r="E79" s="7">
        <v>1559919</v>
      </c>
      <c r="F79" s="7">
        <v>1324525</v>
      </c>
      <c r="G79" s="8">
        <f>F79/E79</f>
        <v>0.84909857499011165</v>
      </c>
      <c r="H79" s="2" t="str" cm="1">
        <f t="array" ref="H79">_xlfn.IFS(G79&gt;=106%,"Excellent", G79&gt;=100%,"Good", G79&gt;=80%,"Average", G79&lt;80%,"Poor")</f>
        <v>Average</v>
      </c>
      <c r="I79" t="str" cm="1">
        <f t="array" ref="I79">_xlfn.IFS(H79="Poor","Below Target",  H79="Average","Near Target",  H79="Good","Target Achieved", H79="Excellent","Target Exceeded")</f>
        <v>Near Target</v>
      </c>
    </row>
    <row r="80" spans="1:9" x14ac:dyDescent="0.3">
      <c r="A80" s="2" t="s">
        <v>250</v>
      </c>
      <c r="B80" s="2" t="s">
        <v>34</v>
      </c>
      <c r="C80" s="2" t="s">
        <v>24</v>
      </c>
      <c r="D80" s="12" t="s">
        <v>251</v>
      </c>
      <c r="E80" s="7">
        <v>1244121</v>
      </c>
      <c r="F80" s="7">
        <v>1973175</v>
      </c>
      <c r="G80" s="8">
        <f>F80/E80</f>
        <v>1.5859992717750122</v>
      </c>
      <c r="H80" s="2" t="str" cm="1">
        <f t="array" ref="H80">_xlfn.IFS(G80&gt;=106%,"Excellent", G80&gt;=100%,"Good", G80&gt;=80%,"Average", G80&lt;80%,"Poor")</f>
        <v>Excellent</v>
      </c>
      <c r="I80" t="str" cm="1">
        <f t="array" ref="I80">_xlfn.IFS(H80="Poor","Below Target",  H80="Average","Near Target",  H80="Good","Target Achieved", H80="Excellent","Target Exceeded")</f>
        <v>Target Exceeded</v>
      </c>
    </row>
    <row r="81" spans="1:9" x14ac:dyDescent="0.3">
      <c r="A81" s="2" t="s">
        <v>30</v>
      </c>
      <c r="B81" s="2" t="s">
        <v>8</v>
      </c>
      <c r="C81" s="2" t="s">
        <v>31</v>
      </c>
      <c r="D81" s="12" t="s">
        <v>32</v>
      </c>
      <c r="E81" s="7">
        <v>1221327</v>
      </c>
      <c r="F81" s="7">
        <v>1566105</v>
      </c>
      <c r="G81" s="8">
        <f>F81/E81</f>
        <v>1.2822978612607434</v>
      </c>
      <c r="H81" s="2" t="str" cm="1">
        <f t="array" ref="H81">_xlfn.IFS(G81&gt;=106%,"Excellent", G81&gt;=100%,"Good", G81&gt;=80%,"Average", G81&lt;80%,"Poor")</f>
        <v>Excellent</v>
      </c>
      <c r="I81" t="str" cm="1">
        <f t="array" ref="I81">_xlfn.IFS(H81="Poor","Below Target",  H81="Average","Near Target",  H81="Good","Target Achieved", H81="Excellent","Target Exceeded")</f>
        <v>Target Exceeded</v>
      </c>
    </row>
    <row r="82" spans="1:9" x14ac:dyDescent="0.3">
      <c r="A82" s="2" t="s">
        <v>131</v>
      </c>
      <c r="B82" s="2" t="s">
        <v>8</v>
      </c>
      <c r="C82" s="2" t="s">
        <v>13</v>
      </c>
      <c r="D82" s="12" t="s">
        <v>32</v>
      </c>
      <c r="E82" s="7">
        <v>947016</v>
      </c>
      <c r="F82" s="7">
        <v>1360917</v>
      </c>
      <c r="G82" s="8">
        <f>F82/E82</f>
        <v>1.4370580856078461</v>
      </c>
      <c r="H82" s="2" t="str" cm="1">
        <f t="array" ref="H82">_xlfn.IFS(G82&gt;=106%,"Excellent", G82&gt;=100%,"Good", G82&gt;=80%,"Average", G82&lt;80%,"Poor")</f>
        <v>Excellent</v>
      </c>
      <c r="I82" t="str" cm="1">
        <f t="array" ref="I82">_xlfn.IFS(H82="Poor","Below Target",  H82="Average","Near Target",  H82="Good","Target Achieved", H82="Excellent","Target Exceeded")</f>
        <v>Target Exceeded</v>
      </c>
    </row>
    <row r="83" spans="1:9" x14ac:dyDescent="0.3">
      <c r="A83" s="2" t="s">
        <v>44</v>
      </c>
      <c r="B83" s="2" t="s">
        <v>37</v>
      </c>
      <c r="C83" s="2" t="s">
        <v>31</v>
      </c>
      <c r="D83" s="12" t="s">
        <v>45</v>
      </c>
      <c r="E83" s="7">
        <v>939368</v>
      </c>
      <c r="F83" s="7">
        <v>1705459</v>
      </c>
      <c r="G83" s="8">
        <f>F83/E83</f>
        <v>1.8155387451988998</v>
      </c>
      <c r="H83" s="2" t="str" cm="1">
        <f t="array" ref="H83">_xlfn.IFS(G83&gt;=106%,"Excellent", G83&gt;=100%,"Good", G83&gt;=80%,"Average", G83&lt;80%,"Poor")</f>
        <v>Excellent</v>
      </c>
      <c r="I83" t="str" cm="1">
        <f t="array" ref="I83">_xlfn.IFS(H83="Poor","Below Target",  H83="Average","Near Target",  H83="Good","Target Achieved", H83="Excellent","Target Exceeded")</f>
        <v>Target Exceeded</v>
      </c>
    </row>
    <row r="84" spans="1:9" x14ac:dyDescent="0.3">
      <c r="A84" s="2" t="s">
        <v>315</v>
      </c>
      <c r="B84" s="2" t="s">
        <v>34</v>
      </c>
      <c r="C84" s="2" t="s">
        <v>56</v>
      </c>
      <c r="D84" s="12" t="s">
        <v>45</v>
      </c>
      <c r="E84" s="7">
        <v>608237</v>
      </c>
      <c r="F84" s="7">
        <v>726892</v>
      </c>
      <c r="G84" s="8">
        <f>F84/E84</f>
        <v>1.195080207221856</v>
      </c>
      <c r="H84" s="2" t="str" cm="1">
        <f t="array" ref="H84">_xlfn.IFS(G84&gt;=106%,"Excellent", G84&gt;=100%,"Good", G84&gt;=80%,"Average", G84&lt;80%,"Poor")</f>
        <v>Excellent</v>
      </c>
      <c r="I84" t="str" cm="1">
        <f t="array" ref="I84">_xlfn.IFS(H84="Poor","Below Target",  H84="Average","Near Target",  H84="Good","Target Achieved", H84="Excellent","Target Exceeded")</f>
        <v>Target Exceeded</v>
      </c>
    </row>
    <row r="85" spans="1:9" x14ac:dyDescent="0.3">
      <c r="A85" s="2" t="s">
        <v>51</v>
      </c>
      <c r="B85" s="2" t="s">
        <v>20</v>
      </c>
      <c r="C85" s="2" t="s">
        <v>9</v>
      </c>
      <c r="D85" s="12" t="s">
        <v>52</v>
      </c>
      <c r="E85" s="7">
        <v>1161552</v>
      </c>
      <c r="F85" s="7">
        <v>1141303</v>
      </c>
      <c r="G85" s="8">
        <f>F85/E85</f>
        <v>0.98256728928192627</v>
      </c>
      <c r="H85" s="2" t="str" cm="1">
        <f t="array" ref="H85">_xlfn.IFS(G85&gt;=106%,"Excellent", G85&gt;=100%,"Good", G85&gt;=80%,"Average", G85&lt;80%,"Poor")</f>
        <v>Average</v>
      </c>
      <c r="I85" t="str" cm="1">
        <f t="array" ref="I85">_xlfn.IFS(H85="Poor","Below Target",  H85="Average","Near Target",  H85="Good","Target Achieved", H85="Excellent","Target Exceeded")</f>
        <v>Near Target</v>
      </c>
    </row>
    <row r="86" spans="1:9" x14ac:dyDescent="0.3">
      <c r="A86" s="2" t="s">
        <v>243</v>
      </c>
      <c r="B86" s="2" t="s">
        <v>42</v>
      </c>
      <c r="C86" s="2" t="s">
        <v>24</v>
      </c>
      <c r="D86" s="12" t="s">
        <v>244</v>
      </c>
      <c r="E86" s="7">
        <v>1594182</v>
      </c>
      <c r="F86" s="7">
        <v>1664108</v>
      </c>
      <c r="G86" s="8">
        <f>F86/E86</f>
        <v>1.0438632477345748</v>
      </c>
      <c r="H86" s="2" t="str" cm="1">
        <f t="array" ref="H86">_xlfn.IFS(G86&gt;=106%,"Excellent", G86&gt;=100%,"Good", G86&gt;=80%,"Average", G86&lt;80%,"Poor")</f>
        <v>Good</v>
      </c>
      <c r="I86" t="str" cm="1">
        <f t="array" ref="I86">_xlfn.IFS(H86="Poor","Below Target",  H86="Average","Near Target",  H86="Good","Target Achieved", H86="Excellent","Target Exceeded")</f>
        <v>Target Achieved</v>
      </c>
    </row>
    <row r="87" spans="1:9" x14ac:dyDescent="0.3">
      <c r="A87" s="2" t="s">
        <v>320</v>
      </c>
      <c r="B87" s="2" t="s">
        <v>34</v>
      </c>
      <c r="C87" s="2" t="s">
        <v>31</v>
      </c>
      <c r="D87" s="12" t="s">
        <v>321</v>
      </c>
      <c r="E87" s="7">
        <v>1567181</v>
      </c>
      <c r="F87" s="7">
        <v>1779355</v>
      </c>
      <c r="G87" s="8">
        <f>F87/E87</f>
        <v>1.135385765907065</v>
      </c>
      <c r="H87" s="2" t="str" cm="1">
        <f t="array" ref="H87">_xlfn.IFS(G87&gt;=106%,"Excellent", G87&gt;=100%,"Good", G87&gt;=80%,"Average", G87&lt;80%,"Poor")</f>
        <v>Excellent</v>
      </c>
      <c r="I87" t="str" cm="1">
        <f t="array" ref="I87">_xlfn.IFS(H87="Poor","Below Target",  H87="Average","Near Target",  H87="Good","Target Achieved", H87="Excellent","Target Exceeded")</f>
        <v>Target Exceeded</v>
      </c>
    </row>
    <row r="88" spans="1:9" x14ac:dyDescent="0.3">
      <c r="A88" s="2" t="s">
        <v>252</v>
      </c>
      <c r="B88" s="2" t="s">
        <v>49</v>
      </c>
      <c r="C88" s="2" t="s">
        <v>13</v>
      </c>
      <c r="D88" s="12" t="s">
        <v>253</v>
      </c>
      <c r="E88" s="7">
        <v>1970488</v>
      </c>
      <c r="F88" s="7">
        <v>2145718</v>
      </c>
      <c r="G88" s="8">
        <f>F88/E88</f>
        <v>1.0889272099094234</v>
      </c>
      <c r="H88" s="2" t="str" cm="1">
        <f t="array" ref="H88">_xlfn.IFS(G88&gt;=106%,"Excellent", G88&gt;=100%,"Good", G88&gt;=80%,"Average", G88&lt;80%,"Poor")</f>
        <v>Excellent</v>
      </c>
      <c r="I88" t="str" cm="1">
        <f t="array" ref="I88">_xlfn.IFS(H88="Poor","Below Target",  H88="Average","Near Target",  H88="Good","Target Achieved", H88="Excellent","Target Exceeded")</f>
        <v>Target Exceeded</v>
      </c>
    </row>
    <row r="89" spans="1:9" x14ac:dyDescent="0.3">
      <c r="A89" s="2" t="s">
        <v>398</v>
      </c>
      <c r="B89" s="2" t="s">
        <v>37</v>
      </c>
      <c r="C89" s="2" t="s">
        <v>24</v>
      </c>
      <c r="D89" s="12" t="s">
        <v>253</v>
      </c>
      <c r="E89" s="7">
        <v>1749864</v>
      </c>
      <c r="F89" s="7">
        <v>305946</v>
      </c>
      <c r="G89" s="8">
        <f>F89/E89</f>
        <v>0.17483987327015127</v>
      </c>
      <c r="H89" s="2" t="str" cm="1">
        <f t="array" ref="H89">_xlfn.IFS(G89&gt;=106%,"Excellent", G89&gt;=100%,"Good", G89&gt;=80%,"Average", G89&lt;80%,"Poor")</f>
        <v>Poor</v>
      </c>
      <c r="I89" t="str" cm="1">
        <f t="array" ref="I89">_xlfn.IFS(H89="Poor","Below Target",  H89="Average","Near Target",  H89="Good","Target Achieved", H89="Excellent","Target Exceeded")</f>
        <v>Below Target</v>
      </c>
    </row>
    <row r="90" spans="1:9" x14ac:dyDescent="0.3">
      <c r="A90" s="2" t="s">
        <v>428</v>
      </c>
      <c r="B90" s="2" t="s">
        <v>37</v>
      </c>
      <c r="C90" s="2" t="s">
        <v>13</v>
      </c>
      <c r="D90" s="12" t="s">
        <v>429</v>
      </c>
      <c r="E90" s="7">
        <v>1270831</v>
      </c>
      <c r="F90" s="7">
        <v>540931</v>
      </c>
      <c r="G90" s="8">
        <f>F90/E90</f>
        <v>0.42565140447470984</v>
      </c>
      <c r="H90" s="2" t="str" cm="1">
        <f t="array" ref="H90">_xlfn.IFS(G90&gt;=106%,"Excellent", G90&gt;=100%,"Good", G90&gt;=80%,"Average", G90&lt;80%,"Poor")</f>
        <v>Poor</v>
      </c>
      <c r="I90" t="str" cm="1">
        <f t="array" ref="I90">_xlfn.IFS(H90="Poor","Below Target",  H90="Average","Near Target",  H90="Good","Target Achieved", H90="Excellent","Target Exceeded")</f>
        <v>Below Target</v>
      </c>
    </row>
    <row r="91" spans="1:9" x14ac:dyDescent="0.3">
      <c r="A91" s="2" t="s">
        <v>287</v>
      </c>
      <c r="B91" s="2" t="s">
        <v>17</v>
      </c>
      <c r="C91" s="2" t="s">
        <v>24</v>
      </c>
      <c r="D91" s="12" t="s">
        <v>288</v>
      </c>
      <c r="E91" s="7">
        <v>1104199</v>
      </c>
      <c r="F91" s="7">
        <v>1782593</v>
      </c>
      <c r="G91" s="8">
        <f>F91/E91</f>
        <v>1.6143765752368913</v>
      </c>
      <c r="H91" s="2" t="str" cm="1">
        <f t="array" ref="H91">_xlfn.IFS(G91&gt;=106%,"Excellent", G91&gt;=100%,"Good", G91&gt;=80%,"Average", G91&lt;80%,"Poor")</f>
        <v>Excellent</v>
      </c>
      <c r="I91" t="str" cm="1">
        <f t="array" ref="I91">_xlfn.IFS(H91="Poor","Below Target",  H91="Average","Near Target",  H91="Good","Target Achieved", H91="Excellent","Target Exceeded")</f>
        <v>Target Exceeded</v>
      </c>
    </row>
    <row r="92" spans="1:9" x14ac:dyDescent="0.3">
      <c r="A92" s="2" t="s">
        <v>132</v>
      </c>
      <c r="B92" s="2" t="s">
        <v>37</v>
      </c>
      <c r="C92" s="2" t="s">
        <v>9</v>
      </c>
      <c r="D92" s="12" t="s">
        <v>133</v>
      </c>
      <c r="E92" s="7">
        <v>1012301</v>
      </c>
      <c r="F92" s="7">
        <v>1074954</v>
      </c>
      <c r="G92" s="8">
        <f>F92/E92</f>
        <v>1.061891670560436</v>
      </c>
      <c r="H92" s="2" t="str" cm="1">
        <f t="array" ref="H92">_xlfn.IFS(G92&gt;=106%,"Excellent", G92&gt;=100%,"Good", G92&gt;=80%,"Average", G92&lt;80%,"Poor")</f>
        <v>Excellent</v>
      </c>
      <c r="I92" t="str" cm="1">
        <f t="array" ref="I92">_xlfn.IFS(H92="Poor","Below Target",  H92="Average","Near Target",  H92="Good","Target Achieved", H92="Excellent","Target Exceeded")</f>
        <v>Target Exceeded</v>
      </c>
    </row>
    <row r="93" spans="1:9" x14ac:dyDescent="0.3">
      <c r="A93" s="2" t="s">
        <v>271</v>
      </c>
      <c r="B93" s="2" t="s">
        <v>34</v>
      </c>
      <c r="C93" s="2" t="s">
        <v>9</v>
      </c>
      <c r="D93" s="12" t="s">
        <v>133</v>
      </c>
      <c r="E93" s="7">
        <v>525722</v>
      </c>
      <c r="F93" s="7">
        <v>1503899</v>
      </c>
      <c r="G93" s="8">
        <f>F93/E93</f>
        <v>2.8606354689360538</v>
      </c>
      <c r="H93" s="2" t="str" cm="1">
        <f t="array" ref="H93">_xlfn.IFS(G93&gt;=106%,"Excellent", G93&gt;=100%,"Good", G93&gt;=80%,"Average", G93&lt;80%,"Poor")</f>
        <v>Excellent</v>
      </c>
      <c r="I93" t="str" cm="1">
        <f t="array" ref="I93">_xlfn.IFS(H93="Poor","Below Target",  H93="Average","Near Target",  H93="Good","Target Achieved", H93="Excellent","Target Exceeded")</f>
        <v>Target Exceeded</v>
      </c>
    </row>
    <row r="94" spans="1:9" x14ac:dyDescent="0.3">
      <c r="A94" s="2" t="s">
        <v>412</v>
      </c>
      <c r="B94" s="2" t="s">
        <v>37</v>
      </c>
      <c r="C94" s="2" t="s">
        <v>56</v>
      </c>
      <c r="D94" s="12" t="s">
        <v>413</v>
      </c>
      <c r="E94" s="7">
        <v>1752821</v>
      </c>
      <c r="F94" s="7">
        <v>1412658</v>
      </c>
      <c r="G94" s="8">
        <f>F94/E94</f>
        <v>0.80593397728575822</v>
      </c>
      <c r="H94" s="2" t="str" cm="1">
        <f t="array" ref="H94">_xlfn.IFS(G94&gt;=106%,"Excellent", G94&gt;=100%,"Good", G94&gt;=80%,"Average", G94&lt;80%,"Poor")</f>
        <v>Average</v>
      </c>
      <c r="I94" t="str" cm="1">
        <f t="array" ref="I94">_xlfn.IFS(H94="Poor","Below Target",  H94="Average","Near Target",  H94="Good","Target Achieved", H94="Excellent","Target Exceeded")</f>
        <v>Near Target</v>
      </c>
    </row>
    <row r="95" spans="1:9" x14ac:dyDescent="0.3">
      <c r="A95" s="2" t="s">
        <v>358</v>
      </c>
      <c r="B95" s="2" t="s">
        <v>42</v>
      </c>
      <c r="C95" s="2" t="s">
        <v>31</v>
      </c>
      <c r="D95" s="12" t="s">
        <v>359</v>
      </c>
      <c r="E95" s="7">
        <v>1458054</v>
      </c>
      <c r="F95" s="7">
        <v>2072730</v>
      </c>
      <c r="G95" s="8">
        <f>F95/E95</f>
        <v>1.4215728635564937</v>
      </c>
      <c r="H95" s="2" t="str" cm="1">
        <f t="array" ref="H95">_xlfn.IFS(G95&gt;=106%,"Excellent", G95&gt;=100%,"Good", G95&gt;=80%,"Average", G95&lt;80%,"Poor")</f>
        <v>Excellent</v>
      </c>
      <c r="I95" t="str" cm="1">
        <f t="array" ref="I95">_xlfn.IFS(H95="Poor","Below Target",  H95="Average","Near Target",  H95="Good","Target Achieved", H95="Excellent","Target Exceeded")</f>
        <v>Target Exceeded</v>
      </c>
    </row>
    <row r="96" spans="1:9" x14ac:dyDescent="0.3">
      <c r="A96" s="2" t="s">
        <v>382</v>
      </c>
      <c r="B96" s="2" t="s">
        <v>8</v>
      </c>
      <c r="C96" s="2" t="s">
        <v>24</v>
      </c>
      <c r="D96" s="12" t="s">
        <v>383</v>
      </c>
      <c r="E96" s="7">
        <v>595099</v>
      </c>
      <c r="F96" s="7">
        <v>378039</v>
      </c>
      <c r="G96" s="8">
        <f>F96/E96</f>
        <v>0.63525396614680918</v>
      </c>
      <c r="H96" s="2" t="str" cm="1">
        <f t="array" ref="H96">_xlfn.IFS(G96&gt;=106%,"Excellent", G96&gt;=100%,"Good", G96&gt;=80%,"Average", G96&lt;80%,"Poor")</f>
        <v>Poor</v>
      </c>
      <c r="I96" t="str" cm="1">
        <f t="array" ref="I96">_xlfn.IFS(H96="Poor","Below Target",  H96="Average","Near Target",  H96="Good","Target Achieved", H96="Excellent","Target Exceeded")</f>
        <v>Below Target</v>
      </c>
    </row>
    <row r="97" spans="1:9" x14ac:dyDescent="0.3">
      <c r="A97" s="2" t="s">
        <v>76</v>
      </c>
      <c r="B97" s="2" t="s">
        <v>34</v>
      </c>
      <c r="C97" s="2" t="s">
        <v>9</v>
      </c>
      <c r="D97" s="12" t="s">
        <v>77</v>
      </c>
      <c r="E97" s="7">
        <v>734603</v>
      </c>
      <c r="F97" s="7">
        <v>1061225</v>
      </c>
      <c r="G97" s="8">
        <f>F97/E97</f>
        <v>1.4446238308310748</v>
      </c>
      <c r="H97" s="2" t="str" cm="1">
        <f t="array" ref="H97">_xlfn.IFS(G97&gt;=106%,"Excellent", G97&gt;=100%,"Good", G97&gt;=80%,"Average", G97&lt;80%,"Poor")</f>
        <v>Excellent</v>
      </c>
      <c r="I97" t="str" cm="1">
        <f t="array" ref="I97">_xlfn.IFS(H97="Poor","Below Target",  H97="Average","Near Target",  H97="Good","Target Achieved", H97="Excellent","Target Exceeded")</f>
        <v>Target Exceeded</v>
      </c>
    </row>
    <row r="98" spans="1:9" x14ac:dyDescent="0.3">
      <c r="A98" s="2" t="s">
        <v>125</v>
      </c>
      <c r="B98" s="2" t="s">
        <v>49</v>
      </c>
      <c r="C98" s="2" t="s">
        <v>24</v>
      </c>
      <c r="D98" s="12" t="s">
        <v>126</v>
      </c>
      <c r="E98" s="7">
        <v>1904517</v>
      </c>
      <c r="F98" s="7">
        <v>1801963</v>
      </c>
      <c r="G98" s="8">
        <f>F98/E98</f>
        <v>0.94615222652252517</v>
      </c>
      <c r="H98" s="2" t="str" cm="1">
        <f t="array" ref="H98">_xlfn.IFS(G98&gt;=106%,"Excellent", G98&gt;=100%,"Good", G98&gt;=80%,"Average", G98&lt;80%,"Poor")</f>
        <v>Average</v>
      </c>
      <c r="I98" t="str" cm="1">
        <f t="array" ref="I98">_xlfn.IFS(H98="Poor","Below Target",  H98="Average","Near Target",  H98="Good","Target Achieved", H98="Excellent","Target Exceeded")</f>
        <v>Near Target</v>
      </c>
    </row>
    <row r="99" spans="1:9" x14ac:dyDescent="0.3">
      <c r="A99" s="2" t="s">
        <v>453</v>
      </c>
      <c r="B99" s="2" t="s">
        <v>17</v>
      </c>
      <c r="C99" s="2" t="s">
        <v>56</v>
      </c>
      <c r="D99" s="12" t="s">
        <v>126</v>
      </c>
      <c r="E99" s="7">
        <v>663289</v>
      </c>
      <c r="F99" s="7">
        <v>2107975</v>
      </c>
      <c r="G99" s="8">
        <f>F99/E99</f>
        <v>3.1780641620771641</v>
      </c>
      <c r="H99" s="2" t="str" cm="1">
        <f t="array" ref="H99">_xlfn.IFS(G99&gt;=106%,"Excellent", G99&gt;=100%,"Good", G99&gt;=80%,"Average", G99&lt;80%,"Poor")</f>
        <v>Excellent</v>
      </c>
      <c r="I99" t="str" cm="1">
        <f t="array" ref="I99">_xlfn.IFS(H99="Poor","Below Target",  H99="Average","Near Target",  H99="Good","Target Achieved", H99="Excellent","Target Exceeded")</f>
        <v>Target Exceeded</v>
      </c>
    </row>
    <row r="100" spans="1:9" x14ac:dyDescent="0.3">
      <c r="A100" s="2" t="s">
        <v>332</v>
      </c>
      <c r="B100" s="2" t="s">
        <v>42</v>
      </c>
      <c r="C100" s="2" t="s">
        <v>24</v>
      </c>
      <c r="D100" s="12" t="s">
        <v>333</v>
      </c>
      <c r="E100" s="7">
        <v>1361457</v>
      </c>
      <c r="F100" s="7">
        <v>391535</v>
      </c>
      <c r="G100" s="8">
        <f>F100/E100</f>
        <v>0.28758528546990469</v>
      </c>
      <c r="H100" s="2" t="str" cm="1">
        <f t="array" ref="H100">_xlfn.IFS(G100&gt;=106%,"Excellent", G100&gt;=100%,"Good", G100&gt;=80%,"Average", G100&lt;80%,"Poor")</f>
        <v>Poor</v>
      </c>
      <c r="I100" t="str" cm="1">
        <f t="array" ref="I100">_xlfn.IFS(H100="Poor","Below Target",  H100="Average","Near Target",  H100="Good","Target Achieved", H100="Excellent","Target Exceeded")</f>
        <v>Below Target</v>
      </c>
    </row>
    <row r="101" spans="1:9" x14ac:dyDescent="0.3">
      <c r="A101" s="2" t="s">
        <v>245</v>
      </c>
      <c r="B101" s="2" t="s">
        <v>34</v>
      </c>
      <c r="C101" s="2" t="s">
        <v>56</v>
      </c>
      <c r="D101" s="12" t="s">
        <v>246</v>
      </c>
      <c r="E101" s="7">
        <v>1742509</v>
      </c>
      <c r="F101" s="7">
        <v>862866</v>
      </c>
      <c r="G101" s="8">
        <f>F101/E101</f>
        <v>0.49518596460620862</v>
      </c>
      <c r="H101" s="2" t="str" cm="1">
        <f t="array" ref="H101">_xlfn.IFS(G101&gt;=106%,"Excellent", G101&gt;=100%,"Good", G101&gt;=80%,"Average", G101&lt;80%,"Poor")</f>
        <v>Poor</v>
      </c>
      <c r="I101" t="str" cm="1">
        <f t="array" ref="I101">_xlfn.IFS(H101="Poor","Below Target",  H101="Average","Near Target",  H101="Good","Target Achieved", H101="Excellent","Target Exceeded")</f>
        <v>Below Target</v>
      </c>
    </row>
    <row r="102" spans="1:9" x14ac:dyDescent="0.3">
      <c r="A102" s="2" t="s">
        <v>48</v>
      </c>
      <c r="B102" s="2" t="s">
        <v>49</v>
      </c>
      <c r="C102" s="2" t="s">
        <v>13</v>
      </c>
      <c r="D102" s="12" t="s">
        <v>50</v>
      </c>
      <c r="E102" s="7">
        <v>960566</v>
      </c>
      <c r="F102" s="7">
        <v>1735740</v>
      </c>
      <c r="G102" s="8">
        <f>F102/E102</f>
        <v>1.8069971246119476</v>
      </c>
      <c r="H102" s="2" t="str" cm="1">
        <f t="array" ref="H102">_xlfn.IFS(G102&gt;=106%,"Excellent", G102&gt;=100%,"Good", G102&gt;=80%,"Average", G102&lt;80%,"Poor")</f>
        <v>Excellent</v>
      </c>
      <c r="I102" t="str" cm="1">
        <f t="array" ref="I102">_xlfn.IFS(H102="Poor","Below Target",  H102="Average","Near Target",  H102="Good","Target Achieved", H102="Excellent","Target Exceeded")</f>
        <v>Target Exceeded</v>
      </c>
    </row>
    <row r="103" spans="1:9" x14ac:dyDescent="0.3">
      <c r="A103" s="2" t="s">
        <v>249</v>
      </c>
      <c r="B103" s="2" t="s">
        <v>37</v>
      </c>
      <c r="C103" s="2" t="s">
        <v>9</v>
      </c>
      <c r="D103" s="12" t="s">
        <v>50</v>
      </c>
      <c r="E103" s="7">
        <v>1536635</v>
      </c>
      <c r="F103" s="7">
        <v>2084577</v>
      </c>
      <c r="G103" s="8">
        <f>F103/E103</f>
        <v>1.3565856563204666</v>
      </c>
      <c r="H103" s="2" t="str" cm="1">
        <f t="array" ref="H103">_xlfn.IFS(G103&gt;=106%,"Excellent", G103&gt;=100%,"Good", G103&gt;=80%,"Average", G103&lt;80%,"Poor")</f>
        <v>Excellent</v>
      </c>
      <c r="I103" t="str" cm="1">
        <f t="array" ref="I103">_xlfn.IFS(H103="Poor","Below Target",  H103="Average","Near Target",  H103="Good","Target Achieved", H103="Excellent","Target Exceeded")</f>
        <v>Target Exceeded</v>
      </c>
    </row>
    <row r="104" spans="1:9" x14ac:dyDescent="0.3">
      <c r="A104" s="2" t="s">
        <v>221</v>
      </c>
      <c r="B104" s="2" t="s">
        <v>27</v>
      </c>
      <c r="C104" s="2" t="s">
        <v>9</v>
      </c>
      <c r="D104" s="12" t="s">
        <v>222</v>
      </c>
      <c r="E104" s="7">
        <v>1045587</v>
      </c>
      <c r="F104" s="7">
        <v>1095038</v>
      </c>
      <c r="G104" s="8">
        <f>F104/E104</f>
        <v>1.0472949644553728</v>
      </c>
      <c r="H104" s="2" t="str" cm="1">
        <f t="array" ref="H104">_xlfn.IFS(G104&gt;=106%,"Excellent", G104&gt;=100%,"Good", G104&gt;=80%,"Average", G104&lt;80%,"Poor")</f>
        <v>Good</v>
      </c>
      <c r="I104" t="str" cm="1">
        <f t="array" ref="I104">_xlfn.IFS(H104="Poor","Below Target",  H104="Average","Near Target",  H104="Good","Target Achieved", H104="Excellent","Target Exceeded")</f>
        <v>Target Achieved</v>
      </c>
    </row>
    <row r="105" spans="1:9" x14ac:dyDescent="0.3">
      <c r="A105" s="2" t="s">
        <v>369</v>
      </c>
      <c r="B105" s="2" t="s">
        <v>37</v>
      </c>
      <c r="C105" s="2" t="s">
        <v>24</v>
      </c>
      <c r="D105" s="12" t="s">
        <v>222</v>
      </c>
      <c r="E105" s="7">
        <v>689023</v>
      </c>
      <c r="F105" s="7">
        <v>918891</v>
      </c>
      <c r="G105" s="8">
        <f>F105/E105</f>
        <v>1.3336144076467693</v>
      </c>
      <c r="H105" s="2" t="str" cm="1">
        <f t="array" ref="H105">_xlfn.IFS(G105&gt;=106%,"Excellent", G105&gt;=100%,"Good", G105&gt;=80%,"Average", G105&lt;80%,"Poor")</f>
        <v>Excellent</v>
      </c>
      <c r="I105" t="str" cm="1">
        <f t="array" ref="I105">_xlfn.IFS(H105="Poor","Below Target",  H105="Average","Near Target",  H105="Good","Target Achieved", H105="Excellent","Target Exceeded")</f>
        <v>Target Exceeded</v>
      </c>
    </row>
    <row r="106" spans="1:9" x14ac:dyDescent="0.3">
      <c r="A106" s="2" t="s">
        <v>92</v>
      </c>
      <c r="B106" s="2" t="s">
        <v>20</v>
      </c>
      <c r="C106" s="2" t="s">
        <v>9</v>
      </c>
      <c r="D106" s="12" t="s">
        <v>93</v>
      </c>
      <c r="E106" s="7">
        <v>565877</v>
      </c>
      <c r="F106" s="7">
        <v>2102786</v>
      </c>
      <c r="G106" s="8">
        <f>F106/E106</f>
        <v>3.7159771469771701</v>
      </c>
      <c r="H106" s="2" t="str" cm="1">
        <f t="array" ref="H106">_xlfn.IFS(G106&gt;=106%,"Excellent", G106&gt;=100%,"Good", G106&gt;=80%,"Average", G106&lt;80%,"Poor")</f>
        <v>Excellent</v>
      </c>
      <c r="I106" t="str" cm="1">
        <f t="array" ref="I106">_xlfn.IFS(H106="Poor","Below Target",  H106="Average","Near Target",  H106="Good","Target Achieved", H106="Excellent","Target Exceeded")</f>
        <v>Target Exceeded</v>
      </c>
    </row>
    <row r="107" spans="1:9" x14ac:dyDescent="0.3">
      <c r="A107" s="2" t="s">
        <v>171</v>
      </c>
      <c r="B107" s="2" t="s">
        <v>37</v>
      </c>
      <c r="C107" s="2" t="s">
        <v>56</v>
      </c>
      <c r="D107" s="12" t="s">
        <v>93</v>
      </c>
      <c r="E107" s="7">
        <v>646745</v>
      </c>
      <c r="F107" s="7">
        <v>1693007</v>
      </c>
      <c r="G107" s="8">
        <f>F107/E107</f>
        <v>2.6177349650944346</v>
      </c>
      <c r="H107" s="2" t="str" cm="1">
        <f t="array" ref="H107">_xlfn.IFS(G107&gt;=106%,"Excellent", G107&gt;=100%,"Good", G107&gt;=80%,"Average", G107&lt;80%,"Poor")</f>
        <v>Excellent</v>
      </c>
      <c r="I107" t="str" cm="1">
        <f t="array" ref="I107">_xlfn.IFS(H107="Poor","Below Target",  H107="Average","Near Target",  H107="Good","Target Achieved", H107="Excellent","Target Exceeded")</f>
        <v>Target Exceeded</v>
      </c>
    </row>
    <row r="108" spans="1:9" x14ac:dyDescent="0.3">
      <c r="A108" s="2" t="s">
        <v>206</v>
      </c>
      <c r="B108" s="2" t="s">
        <v>20</v>
      </c>
      <c r="C108" s="2" t="s">
        <v>9</v>
      </c>
      <c r="D108" s="12" t="s">
        <v>93</v>
      </c>
      <c r="E108" s="7">
        <v>1370041</v>
      </c>
      <c r="F108" s="7">
        <v>1154797</v>
      </c>
      <c r="G108" s="8">
        <f>F108/E108</f>
        <v>0.84289229300436996</v>
      </c>
      <c r="H108" s="2" t="str" cm="1">
        <f t="array" ref="H108">_xlfn.IFS(G108&gt;=106%,"Excellent", G108&gt;=100%,"Good", G108&gt;=80%,"Average", G108&lt;80%,"Poor")</f>
        <v>Average</v>
      </c>
      <c r="I108" t="str" cm="1">
        <f t="array" ref="I108">_xlfn.IFS(H108="Poor","Below Target",  H108="Average","Near Target",  H108="Good","Target Achieved", H108="Excellent","Target Exceeded")</f>
        <v>Near Target</v>
      </c>
    </row>
    <row r="109" spans="1:9" x14ac:dyDescent="0.3">
      <c r="A109" s="2" t="s">
        <v>306</v>
      </c>
      <c r="B109" s="2" t="s">
        <v>8</v>
      </c>
      <c r="C109" s="2" t="s">
        <v>56</v>
      </c>
      <c r="D109" s="12" t="s">
        <v>307</v>
      </c>
      <c r="E109" s="7">
        <v>1229727</v>
      </c>
      <c r="F109" s="7">
        <v>1156368</v>
      </c>
      <c r="G109" s="8">
        <f>F109/E109</f>
        <v>0.94034529615109697</v>
      </c>
      <c r="H109" s="2" t="str" cm="1">
        <f t="array" ref="H109">_xlfn.IFS(G109&gt;=106%,"Excellent", G109&gt;=100%,"Good", G109&gt;=80%,"Average", G109&lt;80%,"Poor")</f>
        <v>Average</v>
      </c>
      <c r="I109" t="str" cm="1">
        <f t="array" ref="I109">_xlfn.IFS(H109="Poor","Below Target",  H109="Average","Near Target",  H109="Good","Target Achieved", H109="Excellent","Target Exceeded")</f>
        <v>Near Target</v>
      </c>
    </row>
    <row r="110" spans="1:9" x14ac:dyDescent="0.3">
      <c r="A110" s="2" t="s">
        <v>88</v>
      </c>
      <c r="B110" s="2" t="s">
        <v>8</v>
      </c>
      <c r="C110" s="2" t="s">
        <v>24</v>
      </c>
      <c r="D110" s="12" t="s">
        <v>89</v>
      </c>
      <c r="E110" s="7">
        <v>971224</v>
      </c>
      <c r="F110" s="7">
        <v>434272</v>
      </c>
      <c r="G110" s="8">
        <f>F110/E110</f>
        <v>0.44713886806751069</v>
      </c>
      <c r="H110" s="2" t="str" cm="1">
        <f t="array" ref="H110">_xlfn.IFS(G110&gt;=106%,"Excellent", G110&gt;=100%,"Good", G110&gt;=80%,"Average", G110&lt;80%,"Poor")</f>
        <v>Poor</v>
      </c>
      <c r="I110" t="str" cm="1">
        <f t="array" ref="I110">_xlfn.IFS(H110="Poor","Below Target",  H110="Average","Near Target",  H110="Good","Target Achieved", H110="Excellent","Target Exceeded")</f>
        <v>Below Target</v>
      </c>
    </row>
    <row r="111" spans="1:9" x14ac:dyDescent="0.3">
      <c r="A111" s="2" t="s">
        <v>415</v>
      </c>
      <c r="B111" s="2" t="s">
        <v>42</v>
      </c>
      <c r="C111" s="2" t="s">
        <v>56</v>
      </c>
      <c r="D111" s="12" t="s">
        <v>89</v>
      </c>
      <c r="E111" s="7">
        <v>979185</v>
      </c>
      <c r="F111" s="7">
        <v>1167829</v>
      </c>
      <c r="G111" s="8">
        <f>F111/E111</f>
        <v>1.1926540949871578</v>
      </c>
      <c r="H111" s="2" t="str" cm="1">
        <f t="array" ref="H111">_xlfn.IFS(G111&gt;=106%,"Excellent", G111&gt;=100%,"Good", G111&gt;=80%,"Average", G111&lt;80%,"Poor")</f>
        <v>Excellent</v>
      </c>
      <c r="I111" t="str" cm="1">
        <f t="array" ref="I111">_xlfn.IFS(H111="Poor","Below Target",  H111="Average","Near Target",  H111="Good","Target Achieved", H111="Excellent","Target Exceeded")</f>
        <v>Target Exceeded</v>
      </c>
    </row>
    <row r="112" spans="1:9" x14ac:dyDescent="0.3">
      <c r="A112" s="2" t="s">
        <v>23</v>
      </c>
      <c r="B112" s="2" t="s">
        <v>17</v>
      </c>
      <c r="C112" s="2" t="s">
        <v>24</v>
      </c>
      <c r="D112" s="12" t="s">
        <v>25</v>
      </c>
      <c r="E112" s="7">
        <v>1964104</v>
      </c>
      <c r="F112" s="7">
        <v>1186286</v>
      </c>
      <c r="G112" s="8">
        <f>F112/E112</f>
        <v>0.60398329212709712</v>
      </c>
      <c r="H112" s="2" t="str" cm="1">
        <f t="array" ref="H112">_xlfn.IFS(G112&gt;=106%,"Excellent", G112&gt;=100%,"Good", G112&gt;=80%,"Average", G112&lt;80%,"Poor")</f>
        <v>Poor</v>
      </c>
      <c r="I112" t="str" cm="1">
        <f t="array" ref="I112">_xlfn.IFS(H112="Poor","Below Target",  H112="Average","Near Target",  H112="Good","Target Achieved", H112="Excellent","Target Exceeded")</f>
        <v>Below Target</v>
      </c>
    </row>
    <row r="113" spans="1:9" x14ac:dyDescent="0.3">
      <c r="A113" s="2" t="s">
        <v>165</v>
      </c>
      <c r="B113" s="2" t="s">
        <v>17</v>
      </c>
      <c r="C113" s="2" t="s">
        <v>9</v>
      </c>
      <c r="D113" s="12" t="s">
        <v>166</v>
      </c>
      <c r="E113" s="7">
        <v>1751100</v>
      </c>
      <c r="F113" s="7">
        <v>1211346</v>
      </c>
      <c r="G113" s="8">
        <f>F113/E113</f>
        <v>0.69176289189652218</v>
      </c>
      <c r="H113" s="2" t="str" cm="1">
        <f t="array" ref="H113">_xlfn.IFS(G113&gt;=106%,"Excellent", G113&gt;=100%,"Good", G113&gt;=80%,"Average", G113&lt;80%,"Poor")</f>
        <v>Poor</v>
      </c>
      <c r="I113" t="str" cm="1">
        <f t="array" ref="I113">_xlfn.IFS(H113="Poor","Below Target",  H113="Average","Near Target",  H113="Good","Target Achieved", H113="Excellent","Target Exceeded")</f>
        <v>Below Target</v>
      </c>
    </row>
    <row r="114" spans="1:9" x14ac:dyDescent="0.3">
      <c r="A114" s="2" t="s">
        <v>329</v>
      </c>
      <c r="B114" s="2" t="s">
        <v>27</v>
      </c>
      <c r="C114" s="2" t="s">
        <v>56</v>
      </c>
      <c r="D114" s="12" t="s">
        <v>166</v>
      </c>
      <c r="E114" s="7">
        <v>1629485</v>
      </c>
      <c r="F114" s="7">
        <v>1315737</v>
      </c>
      <c r="G114" s="8">
        <f>F114/E114</f>
        <v>0.80745572987784486</v>
      </c>
      <c r="H114" s="2" t="str" cm="1">
        <f t="array" ref="H114">_xlfn.IFS(G114&gt;=106%,"Excellent", G114&gt;=100%,"Good", G114&gt;=80%,"Average", G114&lt;80%,"Poor")</f>
        <v>Average</v>
      </c>
      <c r="I114" t="str" cm="1">
        <f t="array" ref="I114">_xlfn.IFS(H114="Poor","Below Target",  H114="Average","Near Target",  H114="Good","Target Achieved", H114="Excellent","Target Exceeded")</f>
        <v>Near Target</v>
      </c>
    </row>
    <row r="115" spans="1:9" x14ac:dyDescent="0.3">
      <c r="A115" s="2" t="s">
        <v>364</v>
      </c>
      <c r="B115" s="2" t="s">
        <v>34</v>
      </c>
      <c r="C115" s="2" t="s">
        <v>31</v>
      </c>
      <c r="D115" s="12" t="s">
        <v>365</v>
      </c>
      <c r="E115" s="7">
        <v>982593</v>
      </c>
      <c r="F115" s="7">
        <v>1573107</v>
      </c>
      <c r="G115" s="8">
        <f>F115/E115</f>
        <v>1.6009751748689438</v>
      </c>
      <c r="H115" s="2" t="str" cm="1">
        <f t="array" ref="H115">_xlfn.IFS(G115&gt;=106%,"Excellent", G115&gt;=100%,"Good", G115&gt;=80%,"Average", G115&lt;80%,"Poor")</f>
        <v>Excellent</v>
      </c>
      <c r="I115" t="str" cm="1">
        <f t="array" ref="I115">_xlfn.IFS(H115="Poor","Below Target",  H115="Average","Near Target",  H115="Good","Target Achieved", H115="Excellent","Target Exceeded")</f>
        <v>Target Exceeded</v>
      </c>
    </row>
    <row r="116" spans="1:9" x14ac:dyDescent="0.3">
      <c r="A116" s="2" t="s">
        <v>426</v>
      </c>
      <c r="B116" s="2" t="s">
        <v>17</v>
      </c>
      <c r="C116" s="2" t="s">
        <v>31</v>
      </c>
      <c r="D116" s="12" t="s">
        <v>365</v>
      </c>
      <c r="E116" s="7">
        <v>1759151</v>
      </c>
      <c r="F116" s="7">
        <v>955252</v>
      </c>
      <c r="G116" s="8">
        <f>F116/E116</f>
        <v>0.54301876302830177</v>
      </c>
      <c r="H116" s="2" t="str" cm="1">
        <f t="array" ref="H116">_xlfn.IFS(G116&gt;=106%,"Excellent", G116&gt;=100%,"Good", G116&gt;=80%,"Average", G116&lt;80%,"Poor")</f>
        <v>Poor</v>
      </c>
      <c r="I116" t="str" cm="1">
        <f t="array" ref="I116">_xlfn.IFS(H116="Poor","Below Target",  H116="Average","Near Target",  H116="Good","Target Achieved", H116="Excellent","Target Exceeded")</f>
        <v>Below Target</v>
      </c>
    </row>
    <row r="117" spans="1:9" x14ac:dyDescent="0.3">
      <c r="A117" s="2" t="s">
        <v>98</v>
      </c>
      <c r="B117" s="2" t="s">
        <v>8</v>
      </c>
      <c r="C117" s="2" t="s">
        <v>9</v>
      </c>
      <c r="D117" s="12" t="s">
        <v>99</v>
      </c>
      <c r="E117" s="7">
        <v>1881986</v>
      </c>
      <c r="F117" s="7">
        <v>1203979</v>
      </c>
      <c r="G117" s="8">
        <f>F117/E117</f>
        <v>0.63973855278413339</v>
      </c>
      <c r="H117" s="2" t="str" cm="1">
        <f t="array" ref="H117">_xlfn.IFS(G117&gt;=106%,"Excellent", G117&gt;=100%,"Good", G117&gt;=80%,"Average", G117&lt;80%,"Poor")</f>
        <v>Poor</v>
      </c>
      <c r="I117" t="str" cm="1">
        <f t="array" ref="I117">_xlfn.IFS(H117="Poor","Below Target",  H117="Average","Near Target",  H117="Good","Target Achieved", H117="Excellent","Target Exceeded")</f>
        <v>Below Target</v>
      </c>
    </row>
    <row r="118" spans="1:9" x14ac:dyDescent="0.3">
      <c r="A118" s="2" t="s">
        <v>151</v>
      </c>
      <c r="B118" s="2" t="s">
        <v>20</v>
      </c>
      <c r="C118" s="2" t="s">
        <v>24</v>
      </c>
      <c r="D118" s="12" t="s">
        <v>99</v>
      </c>
      <c r="E118" s="7">
        <v>1898660</v>
      </c>
      <c r="F118" s="7">
        <v>515573</v>
      </c>
      <c r="G118" s="8">
        <f>F118/E118</f>
        <v>0.27154572171952851</v>
      </c>
      <c r="H118" s="2" t="str" cm="1">
        <f t="array" ref="H118">_xlfn.IFS(G118&gt;=106%,"Excellent", G118&gt;=100%,"Good", G118&gt;=80%,"Average", G118&lt;80%,"Poor")</f>
        <v>Poor</v>
      </c>
      <c r="I118" t="str" cm="1">
        <f t="array" ref="I118">_xlfn.IFS(H118="Poor","Below Target",  H118="Average","Near Target",  H118="Good","Target Achieved", H118="Excellent","Target Exceeded")</f>
        <v>Below Target</v>
      </c>
    </row>
    <row r="119" spans="1:9" x14ac:dyDescent="0.3">
      <c r="A119" s="2" t="s">
        <v>265</v>
      </c>
      <c r="B119" s="2" t="s">
        <v>8</v>
      </c>
      <c r="C119" s="2" t="s">
        <v>24</v>
      </c>
      <c r="D119" s="12" t="s">
        <v>266</v>
      </c>
      <c r="E119" s="7">
        <v>1121273</v>
      </c>
      <c r="F119" s="7">
        <v>777066</v>
      </c>
      <c r="G119" s="8">
        <f>F119/E119</f>
        <v>0.69302123568479757</v>
      </c>
      <c r="H119" s="2" t="str" cm="1">
        <f t="array" ref="H119">_xlfn.IFS(G119&gt;=106%,"Excellent", G119&gt;=100%,"Good", G119&gt;=80%,"Average", G119&lt;80%,"Poor")</f>
        <v>Poor</v>
      </c>
      <c r="I119" t="str" cm="1">
        <f t="array" ref="I119">_xlfn.IFS(H119="Poor","Below Target",  H119="Average","Near Target",  H119="Good","Target Achieved", H119="Excellent","Target Exceeded")</f>
        <v>Below Target</v>
      </c>
    </row>
    <row r="120" spans="1:9" x14ac:dyDescent="0.3">
      <c r="A120" s="2" t="s">
        <v>403</v>
      </c>
      <c r="B120" s="2" t="s">
        <v>8</v>
      </c>
      <c r="C120" s="2" t="s">
        <v>9</v>
      </c>
      <c r="D120" s="12" t="s">
        <v>404</v>
      </c>
      <c r="E120" s="7">
        <v>1498760</v>
      </c>
      <c r="F120" s="7">
        <v>1240101</v>
      </c>
      <c r="G120" s="8">
        <f>F120/E120</f>
        <v>0.82741799887907341</v>
      </c>
      <c r="H120" s="2" t="str" cm="1">
        <f t="array" ref="H120">_xlfn.IFS(G120&gt;=106%,"Excellent", G120&gt;=100%,"Good", G120&gt;=80%,"Average", G120&lt;80%,"Poor")</f>
        <v>Average</v>
      </c>
      <c r="I120" t="str" cm="1">
        <f t="array" ref="I120">_xlfn.IFS(H120="Poor","Below Target",  H120="Average","Near Target",  H120="Good","Target Achieved", H120="Excellent","Target Exceeded")</f>
        <v>Near Target</v>
      </c>
    </row>
    <row r="121" spans="1:9" x14ac:dyDescent="0.3">
      <c r="A121" s="2" t="s">
        <v>41</v>
      </c>
      <c r="B121" s="2" t="s">
        <v>42</v>
      </c>
      <c r="C121" s="2" t="s">
        <v>31</v>
      </c>
      <c r="D121" s="12" t="s">
        <v>43</v>
      </c>
      <c r="E121" s="7">
        <v>1450870</v>
      </c>
      <c r="F121" s="7">
        <v>1633126</v>
      </c>
      <c r="G121" s="8">
        <f>F121/E121</f>
        <v>1.1256184220502181</v>
      </c>
      <c r="H121" s="2" t="str" cm="1">
        <f t="array" ref="H121">_xlfn.IFS(G121&gt;=106%,"Excellent", G121&gt;=100%,"Good", G121&gt;=80%,"Average", G121&lt;80%,"Poor")</f>
        <v>Excellent</v>
      </c>
      <c r="I121" t="str" cm="1">
        <f t="array" ref="I121">_xlfn.IFS(H121="Poor","Below Target",  H121="Average","Near Target",  H121="Good","Target Achieved", H121="Excellent","Target Exceeded")</f>
        <v>Target Exceeded</v>
      </c>
    </row>
    <row r="122" spans="1:9" x14ac:dyDescent="0.3">
      <c r="A122" s="2" t="s">
        <v>376</v>
      </c>
      <c r="B122" s="2" t="s">
        <v>49</v>
      </c>
      <c r="C122" s="2" t="s">
        <v>13</v>
      </c>
      <c r="D122" s="12" t="s">
        <v>377</v>
      </c>
      <c r="E122" s="7">
        <v>759184</v>
      </c>
      <c r="F122" s="7">
        <v>1253755</v>
      </c>
      <c r="G122" s="8">
        <f>F122/E122</f>
        <v>1.651450768193218</v>
      </c>
      <c r="H122" s="2" t="str" cm="1">
        <f t="array" ref="H122">_xlfn.IFS(G122&gt;=106%,"Excellent", G122&gt;=100%,"Good", G122&gt;=80%,"Average", G122&lt;80%,"Poor")</f>
        <v>Excellent</v>
      </c>
      <c r="I122" t="str" cm="1">
        <f t="array" ref="I122">_xlfn.IFS(H122="Poor","Below Target",  H122="Average","Near Target",  H122="Good","Target Achieved", H122="Excellent","Target Exceeded")</f>
        <v>Target Exceeded</v>
      </c>
    </row>
    <row r="123" spans="1:9" x14ac:dyDescent="0.3">
      <c r="A123" s="2" t="s">
        <v>238</v>
      </c>
      <c r="B123" s="2" t="s">
        <v>37</v>
      </c>
      <c r="C123" s="2" t="s">
        <v>13</v>
      </c>
      <c r="D123" s="12" t="s">
        <v>239</v>
      </c>
      <c r="E123" s="7">
        <v>1398373</v>
      </c>
      <c r="F123" s="7">
        <v>1687310</v>
      </c>
      <c r="G123" s="8">
        <f>F123/E123</f>
        <v>1.2066236976829501</v>
      </c>
      <c r="H123" s="2" t="str" cm="1">
        <f t="array" ref="H123">_xlfn.IFS(G123&gt;=106%,"Excellent", G123&gt;=100%,"Good", G123&gt;=80%,"Average", G123&lt;80%,"Poor")</f>
        <v>Excellent</v>
      </c>
      <c r="I123" t="str" cm="1">
        <f t="array" ref="I123">_xlfn.IFS(H123="Poor","Below Target",  H123="Average","Near Target",  H123="Good","Target Achieved", H123="Excellent","Target Exceeded")</f>
        <v>Target Exceeded</v>
      </c>
    </row>
    <row r="124" spans="1:9" x14ac:dyDescent="0.3">
      <c r="A124" s="2" t="s">
        <v>349</v>
      </c>
      <c r="B124" s="2" t="s">
        <v>37</v>
      </c>
      <c r="C124" s="2" t="s">
        <v>9</v>
      </c>
      <c r="D124" s="12" t="s">
        <v>350</v>
      </c>
      <c r="E124" s="7">
        <v>1115236</v>
      </c>
      <c r="F124" s="7">
        <v>1051752</v>
      </c>
      <c r="G124" s="8">
        <f>F124/E124</f>
        <v>0.9430757256760004</v>
      </c>
      <c r="H124" s="2" t="str" cm="1">
        <f t="array" ref="H124">_xlfn.IFS(G124&gt;=106%,"Excellent", G124&gt;=100%,"Good", G124&gt;=80%,"Average", G124&lt;80%,"Poor")</f>
        <v>Average</v>
      </c>
      <c r="I124" t="str" cm="1">
        <f t="array" ref="I124">_xlfn.IFS(H124="Poor","Below Target",  H124="Average","Near Target",  H124="Good","Target Achieved", H124="Excellent","Target Exceeded")</f>
        <v>Near Target</v>
      </c>
    </row>
    <row r="125" spans="1:9" x14ac:dyDescent="0.3">
      <c r="A125" s="2" t="s">
        <v>223</v>
      </c>
      <c r="B125" s="2" t="s">
        <v>34</v>
      </c>
      <c r="C125" s="2" t="s">
        <v>31</v>
      </c>
      <c r="D125" s="12" t="s">
        <v>224</v>
      </c>
      <c r="E125" s="7">
        <v>1207789</v>
      </c>
      <c r="F125" s="7">
        <v>1896414</v>
      </c>
      <c r="G125" s="8">
        <f>F125/E125</f>
        <v>1.5701533959988043</v>
      </c>
      <c r="H125" s="2" t="str" cm="1">
        <f t="array" ref="H125">_xlfn.IFS(G125&gt;=106%,"Excellent", G125&gt;=100%,"Good", G125&gt;=80%,"Average", G125&lt;80%,"Poor")</f>
        <v>Excellent</v>
      </c>
      <c r="I125" t="str" cm="1">
        <f t="array" ref="I125">_xlfn.IFS(H125="Poor","Below Target",  H125="Average","Near Target",  H125="Good","Target Achieved", H125="Excellent","Target Exceeded")</f>
        <v>Target Exceeded</v>
      </c>
    </row>
    <row r="126" spans="1:9" x14ac:dyDescent="0.3">
      <c r="A126" s="2" t="s">
        <v>156</v>
      </c>
      <c r="B126" s="2" t="s">
        <v>49</v>
      </c>
      <c r="C126" s="2" t="s">
        <v>24</v>
      </c>
      <c r="D126" s="12" t="s">
        <v>157</v>
      </c>
      <c r="E126" s="7">
        <v>1970686</v>
      </c>
      <c r="F126" s="7">
        <v>526692</v>
      </c>
      <c r="G126" s="8">
        <f>F126/E126</f>
        <v>0.26726327786364751</v>
      </c>
      <c r="H126" s="2" t="str" cm="1">
        <f t="array" ref="H126">_xlfn.IFS(G126&gt;=106%,"Excellent", G126&gt;=100%,"Good", G126&gt;=80%,"Average", G126&lt;80%,"Poor")</f>
        <v>Poor</v>
      </c>
      <c r="I126" t="str" cm="1">
        <f t="array" ref="I126">_xlfn.IFS(H126="Poor","Below Target",  H126="Average","Near Target",  H126="Good","Target Achieved", H126="Excellent","Target Exceeded")</f>
        <v>Below Target</v>
      </c>
    </row>
    <row r="127" spans="1:9" x14ac:dyDescent="0.3">
      <c r="A127" s="2" t="s">
        <v>353</v>
      </c>
      <c r="B127" s="2" t="s">
        <v>27</v>
      </c>
      <c r="C127" s="2" t="s">
        <v>24</v>
      </c>
      <c r="D127" s="12" t="s">
        <v>157</v>
      </c>
      <c r="E127" s="7">
        <v>665608</v>
      </c>
      <c r="F127" s="7">
        <v>1578196</v>
      </c>
      <c r="G127" s="8">
        <f>F127/E127</f>
        <v>2.3710592420764174</v>
      </c>
      <c r="H127" s="2" t="str" cm="1">
        <f t="array" ref="H127">_xlfn.IFS(G127&gt;=106%,"Excellent", G127&gt;=100%,"Good", G127&gt;=80%,"Average", G127&lt;80%,"Poor")</f>
        <v>Excellent</v>
      </c>
      <c r="I127" t="str" cm="1">
        <f t="array" ref="I127">_xlfn.IFS(H127="Poor","Below Target",  H127="Average","Near Target",  H127="Good","Target Achieved", H127="Excellent","Target Exceeded")</f>
        <v>Target Exceeded</v>
      </c>
    </row>
    <row r="128" spans="1:9" x14ac:dyDescent="0.3">
      <c r="A128" s="2" t="s">
        <v>360</v>
      </c>
      <c r="B128" s="2" t="s">
        <v>42</v>
      </c>
      <c r="C128" s="2" t="s">
        <v>56</v>
      </c>
      <c r="D128" s="12" t="s">
        <v>157</v>
      </c>
      <c r="E128" s="7">
        <v>723668</v>
      </c>
      <c r="F128" s="7">
        <v>797456</v>
      </c>
      <c r="G128" s="8">
        <f>F128/E128</f>
        <v>1.1019638839910013</v>
      </c>
      <c r="H128" s="2" t="str" cm="1">
        <f t="array" ref="H128">_xlfn.IFS(G128&gt;=106%,"Excellent", G128&gt;=100%,"Good", G128&gt;=80%,"Average", G128&lt;80%,"Poor")</f>
        <v>Excellent</v>
      </c>
      <c r="I128" t="str" cm="1">
        <f t="array" ref="I128">_xlfn.IFS(H128="Poor","Below Target",  H128="Average","Near Target",  H128="Good","Target Achieved", H128="Excellent","Target Exceeded")</f>
        <v>Target Exceeded</v>
      </c>
    </row>
    <row r="129" spans="1:9" x14ac:dyDescent="0.3">
      <c r="A129" s="2" t="s">
        <v>167</v>
      </c>
      <c r="B129" s="2" t="s">
        <v>42</v>
      </c>
      <c r="C129" s="2" t="s">
        <v>13</v>
      </c>
      <c r="D129" s="12" t="s">
        <v>168</v>
      </c>
      <c r="E129" s="7">
        <v>1572531</v>
      </c>
      <c r="F129" s="7">
        <v>542526</v>
      </c>
      <c r="G129" s="8">
        <f>F129/E129</f>
        <v>0.34500178374861928</v>
      </c>
      <c r="H129" s="2" t="str" cm="1">
        <f t="array" ref="H129">_xlfn.IFS(G129&gt;=106%,"Excellent", G129&gt;=100%,"Good", G129&gt;=80%,"Average", G129&lt;80%,"Poor")</f>
        <v>Poor</v>
      </c>
      <c r="I129" t="str" cm="1">
        <f t="array" ref="I129">_xlfn.IFS(H129="Poor","Below Target",  H129="Average","Near Target",  H129="Good","Target Achieved", H129="Excellent","Target Exceeded")</f>
        <v>Below Target</v>
      </c>
    </row>
    <row r="130" spans="1:9" x14ac:dyDescent="0.3">
      <c r="A130" s="2" t="s">
        <v>374</v>
      </c>
      <c r="B130" s="2" t="s">
        <v>42</v>
      </c>
      <c r="C130" s="2" t="s">
        <v>13</v>
      </c>
      <c r="D130" s="12" t="s">
        <v>375</v>
      </c>
      <c r="E130" s="7">
        <v>1267085</v>
      </c>
      <c r="F130" s="7">
        <v>489378</v>
      </c>
      <c r="G130" s="8">
        <f>F130/E130</f>
        <v>0.38622349723972743</v>
      </c>
      <c r="H130" s="2" t="str" cm="1">
        <f t="array" ref="H130">_xlfn.IFS(G130&gt;=106%,"Excellent", G130&gt;=100%,"Good", G130&gt;=80%,"Average", G130&lt;80%,"Poor")</f>
        <v>Poor</v>
      </c>
      <c r="I130" t="str" cm="1">
        <f t="array" ref="I130">_xlfn.IFS(H130="Poor","Below Target",  H130="Average","Near Target",  H130="Good","Target Achieved", H130="Excellent","Target Exceeded")</f>
        <v>Below Target</v>
      </c>
    </row>
    <row r="131" spans="1:9" x14ac:dyDescent="0.3">
      <c r="A131" s="2" t="s">
        <v>340</v>
      </c>
      <c r="B131" s="2" t="s">
        <v>49</v>
      </c>
      <c r="C131" s="2" t="s">
        <v>31</v>
      </c>
      <c r="D131" s="12" t="s">
        <v>341</v>
      </c>
      <c r="E131" s="7">
        <v>1807069</v>
      </c>
      <c r="F131" s="7">
        <v>1752706</v>
      </c>
      <c r="G131" s="8">
        <f>F131/E131</f>
        <v>0.96991647800941749</v>
      </c>
      <c r="H131" s="2" t="str" cm="1">
        <f t="array" ref="H131">_xlfn.IFS(G131&gt;=106%,"Excellent", G131&gt;=100%,"Good", G131&gt;=80%,"Average", G131&lt;80%,"Poor")</f>
        <v>Average</v>
      </c>
      <c r="I131" t="str" cm="1">
        <f t="array" ref="I131">_xlfn.IFS(H131="Poor","Below Target",  H131="Average","Near Target",  H131="Good","Target Achieved", H131="Excellent","Target Exceeded")</f>
        <v>Near Target</v>
      </c>
    </row>
    <row r="132" spans="1:9" x14ac:dyDescent="0.3">
      <c r="A132" s="2" t="s">
        <v>407</v>
      </c>
      <c r="B132" s="2" t="s">
        <v>34</v>
      </c>
      <c r="C132" s="2" t="s">
        <v>9</v>
      </c>
      <c r="D132" s="12" t="s">
        <v>408</v>
      </c>
      <c r="E132" s="7">
        <v>627560</v>
      </c>
      <c r="F132" s="7">
        <v>1304497</v>
      </c>
      <c r="G132" s="8">
        <f>F132/E132</f>
        <v>2.0786809229396392</v>
      </c>
      <c r="H132" s="2" t="str" cm="1">
        <f t="array" ref="H132">_xlfn.IFS(G132&gt;=106%,"Excellent", G132&gt;=100%,"Good", G132&gt;=80%,"Average", G132&lt;80%,"Poor")</f>
        <v>Excellent</v>
      </c>
      <c r="I132" t="str" cm="1">
        <f t="array" ref="I132">_xlfn.IFS(H132="Poor","Below Target",  H132="Average","Near Target",  H132="Good","Target Achieved", H132="Excellent","Target Exceeded")</f>
        <v>Target Exceeded</v>
      </c>
    </row>
    <row r="133" spans="1:9" x14ac:dyDescent="0.3">
      <c r="A133" s="2" t="s">
        <v>311</v>
      </c>
      <c r="B133" s="2" t="s">
        <v>37</v>
      </c>
      <c r="C133" s="2" t="s">
        <v>31</v>
      </c>
      <c r="D133" s="12" t="s">
        <v>312</v>
      </c>
      <c r="E133" s="7">
        <v>1177954</v>
      </c>
      <c r="F133" s="7">
        <v>543105</v>
      </c>
      <c r="G133" s="8">
        <f>F133/E133</f>
        <v>0.46105790209125314</v>
      </c>
      <c r="H133" s="2" t="str" cm="1">
        <f t="array" ref="H133">_xlfn.IFS(G133&gt;=106%,"Excellent", G133&gt;=100%,"Good", G133&gt;=80%,"Average", G133&lt;80%,"Poor")</f>
        <v>Poor</v>
      </c>
      <c r="I133" t="str" cm="1">
        <f t="array" ref="I133">_xlfn.IFS(H133="Poor","Below Target",  H133="Average","Near Target",  H133="Good","Target Achieved", H133="Excellent","Target Exceeded")</f>
        <v>Below Target</v>
      </c>
    </row>
    <row r="134" spans="1:9" x14ac:dyDescent="0.3">
      <c r="A134" s="2" t="s">
        <v>215</v>
      </c>
      <c r="B134" s="2" t="s">
        <v>42</v>
      </c>
      <c r="C134" s="2" t="s">
        <v>31</v>
      </c>
      <c r="D134" s="12" t="s">
        <v>216</v>
      </c>
      <c r="E134" s="7">
        <v>1902729</v>
      </c>
      <c r="F134" s="7">
        <v>1724263</v>
      </c>
      <c r="G134" s="8">
        <f>F134/E134</f>
        <v>0.90620524520307411</v>
      </c>
      <c r="H134" s="2" t="str" cm="1">
        <f t="array" ref="H134">_xlfn.IFS(G134&gt;=106%,"Excellent", G134&gt;=100%,"Good", G134&gt;=80%,"Average", G134&lt;80%,"Poor")</f>
        <v>Average</v>
      </c>
      <c r="I134" t="str" cm="1">
        <f t="array" ref="I134">_xlfn.IFS(H134="Poor","Below Target",  H134="Average","Near Target",  H134="Good","Target Achieved", H134="Excellent","Target Exceeded")</f>
        <v>Near Target</v>
      </c>
    </row>
    <row r="135" spans="1:9" x14ac:dyDescent="0.3">
      <c r="A135" s="2" t="s">
        <v>257</v>
      </c>
      <c r="B135" s="2" t="s">
        <v>17</v>
      </c>
      <c r="C135" s="2" t="s">
        <v>9</v>
      </c>
      <c r="D135" s="12" t="s">
        <v>216</v>
      </c>
      <c r="E135" s="7">
        <v>1117056</v>
      </c>
      <c r="F135" s="7">
        <v>764721</v>
      </c>
      <c r="G135" s="8">
        <f>F135/E135</f>
        <v>0.68458609058095565</v>
      </c>
      <c r="H135" s="2" t="str" cm="1">
        <f t="array" ref="H135">_xlfn.IFS(G135&gt;=106%,"Excellent", G135&gt;=100%,"Good", G135&gt;=80%,"Average", G135&lt;80%,"Poor")</f>
        <v>Poor</v>
      </c>
      <c r="I135" t="str" cm="1">
        <f t="array" ref="I135">_xlfn.IFS(H135="Poor","Below Target",  H135="Average","Near Target",  H135="Good","Target Achieved", H135="Excellent","Target Exceeded")</f>
        <v>Below Target</v>
      </c>
    </row>
    <row r="136" spans="1:9" x14ac:dyDescent="0.3">
      <c r="A136" s="2" t="s">
        <v>454</v>
      </c>
      <c r="B136" s="2" t="s">
        <v>42</v>
      </c>
      <c r="C136" s="2" t="s">
        <v>56</v>
      </c>
      <c r="D136" s="12" t="s">
        <v>216</v>
      </c>
      <c r="E136" s="7">
        <v>1107157</v>
      </c>
      <c r="F136" s="7">
        <v>541536</v>
      </c>
      <c r="G136" s="8">
        <f>F136/E136</f>
        <v>0.489123042170171</v>
      </c>
      <c r="H136" s="2" t="str" cm="1">
        <f t="array" ref="H136">_xlfn.IFS(G136&gt;=106%,"Excellent", G136&gt;=100%,"Good", G136&gt;=80%,"Average", G136&lt;80%,"Poor")</f>
        <v>Poor</v>
      </c>
      <c r="I136" t="str" cm="1">
        <f t="array" ref="I136">_xlfn.IFS(H136="Poor","Below Target",  H136="Average","Near Target",  H136="Good","Target Achieved", H136="Excellent","Target Exceeded")</f>
        <v>Below Target</v>
      </c>
    </row>
    <row r="137" spans="1:9" x14ac:dyDescent="0.3">
      <c r="A137" s="2" t="s">
        <v>96</v>
      </c>
      <c r="B137" s="2" t="s">
        <v>34</v>
      </c>
      <c r="C137" s="2" t="s">
        <v>24</v>
      </c>
      <c r="D137" s="12" t="s">
        <v>97</v>
      </c>
      <c r="E137" s="7">
        <v>1491896</v>
      </c>
      <c r="F137" s="7">
        <v>1993443</v>
      </c>
      <c r="G137" s="8">
        <f>F137/E137</f>
        <v>1.3361809402263964</v>
      </c>
      <c r="H137" s="2" t="str" cm="1">
        <f t="array" ref="H137">_xlfn.IFS(G137&gt;=106%,"Excellent", G137&gt;=100%,"Good", G137&gt;=80%,"Average", G137&lt;80%,"Poor")</f>
        <v>Excellent</v>
      </c>
      <c r="I137" t="str" cm="1">
        <f t="array" ref="I137">_xlfn.IFS(H137="Poor","Below Target",  H137="Average","Near Target",  H137="Good","Target Achieved", H137="Excellent","Target Exceeded")</f>
        <v>Target Exceeded</v>
      </c>
    </row>
    <row r="138" spans="1:9" x14ac:dyDescent="0.3">
      <c r="A138" s="2" t="s">
        <v>254</v>
      </c>
      <c r="B138" s="2" t="s">
        <v>20</v>
      </c>
      <c r="C138" s="2" t="s">
        <v>9</v>
      </c>
      <c r="D138" s="12" t="s">
        <v>97</v>
      </c>
      <c r="E138" s="7">
        <v>1006160</v>
      </c>
      <c r="F138" s="7">
        <v>1810106</v>
      </c>
      <c r="G138" s="8">
        <f>F138/E138</f>
        <v>1.799024012085553</v>
      </c>
      <c r="H138" s="2" t="str" cm="1">
        <f t="array" ref="H138">_xlfn.IFS(G138&gt;=106%,"Excellent", G138&gt;=100%,"Good", G138&gt;=80%,"Average", G138&lt;80%,"Poor")</f>
        <v>Excellent</v>
      </c>
      <c r="I138" t="str" cm="1">
        <f t="array" ref="I138">_xlfn.IFS(H138="Poor","Below Target",  H138="Average","Near Target",  H138="Good","Target Achieved", H138="Excellent","Target Exceeded")</f>
        <v>Target Exceeded</v>
      </c>
    </row>
    <row r="139" spans="1:9" x14ac:dyDescent="0.3">
      <c r="A139" s="2" t="s">
        <v>154</v>
      </c>
      <c r="B139" s="2" t="s">
        <v>17</v>
      </c>
      <c r="C139" s="2" t="s">
        <v>24</v>
      </c>
      <c r="D139" s="12" t="s">
        <v>155</v>
      </c>
      <c r="E139" s="7">
        <v>1196643</v>
      </c>
      <c r="F139" s="7">
        <v>1940783</v>
      </c>
      <c r="G139" s="8">
        <f>F139/E139</f>
        <v>1.621856309693033</v>
      </c>
      <c r="H139" s="2" t="str" cm="1">
        <f t="array" ref="H139">_xlfn.IFS(G139&gt;=106%,"Excellent", G139&gt;=100%,"Good", G139&gt;=80%,"Average", G139&lt;80%,"Poor")</f>
        <v>Excellent</v>
      </c>
      <c r="I139" t="str" cm="1">
        <f t="array" ref="I139">_xlfn.IFS(H139="Poor","Below Target",  H139="Average","Near Target",  H139="Good","Target Achieved", H139="Excellent","Target Exceeded")</f>
        <v>Target Exceeded</v>
      </c>
    </row>
    <row r="140" spans="1:9" x14ac:dyDescent="0.3">
      <c r="A140" s="2" t="s">
        <v>277</v>
      </c>
      <c r="B140" s="2" t="s">
        <v>8</v>
      </c>
      <c r="C140" s="2" t="s">
        <v>24</v>
      </c>
      <c r="D140" s="12" t="s">
        <v>278</v>
      </c>
      <c r="E140" s="7">
        <v>748410</v>
      </c>
      <c r="F140" s="7">
        <v>1470363</v>
      </c>
      <c r="G140" s="8">
        <f>F140/E140</f>
        <v>1.9646490559987173</v>
      </c>
      <c r="H140" s="2" t="str" cm="1">
        <f t="array" ref="H140">_xlfn.IFS(G140&gt;=106%,"Excellent", G140&gt;=100%,"Good", G140&gt;=80%,"Average", G140&lt;80%,"Poor")</f>
        <v>Excellent</v>
      </c>
      <c r="I140" t="str" cm="1">
        <f t="array" ref="I140">_xlfn.IFS(H140="Poor","Below Target",  H140="Average","Near Target",  H140="Good","Target Achieved", H140="Excellent","Target Exceeded")</f>
        <v>Target Exceeded</v>
      </c>
    </row>
    <row r="141" spans="1:9" x14ac:dyDescent="0.3">
      <c r="A141" s="2" t="s">
        <v>207</v>
      </c>
      <c r="B141" s="2" t="s">
        <v>42</v>
      </c>
      <c r="C141" s="2" t="s">
        <v>9</v>
      </c>
      <c r="D141" s="12" t="s">
        <v>208</v>
      </c>
      <c r="E141" s="7">
        <v>933763</v>
      </c>
      <c r="F141" s="7">
        <v>2046699</v>
      </c>
      <c r="G141" s="8">
        <f>F141/E141</f>
        <v>2.1918827368400762</v>
      </c>
      <c r="H141" s="2" t="str" cm="1">
        <f t="array" ref="H141">_xlfn.IFS(G141&gt;=106%,"Excellent", G141&gt;=100%,"Good", G141&gt;=80%,"Average", G141&lt;80%,"Poor")</f>
        <v>Excellent</v>
      </c>
      <c r="I141" t="str" cm="1">
        <f t="array" ref="I141">_xlfn.IFS(H141="Poor","Below Target",  H141="Average","Near Target",  H141="Good","Target Achieved", H141="Excellent","Target Exceeded")</f>
        <v>Target Exceeded</v>
      </c>
    </row>
    <row r="142" spans="1:9" x14ac:dyDescent="0.3">
      <c r="A142" s="2" t="s">
        <v>12</v>
      </c>
      <c r="B142" s="2" t="s">
        <v>8</v>
      </c>
      <c r="C142" s="2" t="s">
        <v>13</v>
      </c>
      <c r="D142" s="12" t="s">
        <v>14</v>
      </c>
      <c r="E142" s="7">
        <v>682323</v>
      </c>
      <c r="F142" s="7">
        <v>1538352</v>
      </c>
      <c r="G142" s="8">
        <f>F142/E142</f>
        <v>2.2545803087394094</v>
      </c>
      <c r="H142" s="2" t="str" cm="1">
        <f t="array" ref="H142">_xlfn.IFS(G142&gt;=106%,"Excellent", G142&gt;=100%,"Good", G142&gt;=80%,"Average", G142&lt;80%,"Poor")</f>
        <v>Excellent</v>
      </c>
      <c r="I142" t="str" cm="1">
        <f t="array" ref="I142">_xlfn.IFS(H142="Poor","Below Target",  H142="Average","Near Target",  H142="Good","Target Achieved", H142="Excellent","Target Exceeded")</f>
        <v>Target Exceeded</v>
      </c>
    </row>
    <row r="143" spans="1:9" x14ac:dyDescent="0.3">
      <c r="A143" s="2" t="s">
        <v>416</v>
      </c>
      <c r="B143" s="2" t="s">
        <v>42</v>
      </c>
      <c r="C143" s="2" t="s">
        <v>56</v>
      </c>
      <c r="D143" s="12" t="s">
        <v>417</v>
      </c>
      <c r="E143" s="7">
        <v>699409</v>
      </c>
      <c r="F143" s="7">
        <v>955461</v>
      </c>
      <c r="G143" s="8">
        <f>F143/E143</f>
        <v>1.3660976624550156</v>
      </c>
      <c r="H143" s="2" t="str" cm="1">
        <f t="array" ref="H143">_xlfn.IFS(G143&gt;=106%,"Excellent", G143&gt;=100%,"Good", G143&gt;=80%,"Average", G143&lt;80%,"Poor")</f>
        <v>Excellent</v>
      </c>
      <c r="I143" t="str" cm="1">
        <f t="array" ref="I143">_xlfn.IFS(H143="Poor","Below Target",  H143="Average","Near Target",  H143="Good","Target Achieved", H143="Excellent","Target Exceeded")</f>
        <v>Target Exceeded</v>
      </c>
    </row>
    <row r="144" spans="1:9" x14ac:dyDescent="0.3">
      <c r="A144" s="2" t="s">
        <v>298</v>
      </c>
      <c r="B144" s="2" t="s">
        <v>8</v>
      </c>
      <c r="C144" s="2" t="s">
        <v>13</v>
      </c>
      <c r="D144" s="12" t="s">
        <v>299</v>
      </c>
      <c r="E144" s="7">
        <v>583594</v>
      </c>
      <c r="F144" s="7">
        <v>2165254</v>
      </c>
      <c r="G144" s="8">
        <f>F144/E144</f>
        <v>3.7102060679170794</v>
      </c>
      <c r="H144" s="2" t="str" cm="1">
        <f t="array" ref="H144">_xlfn.IFS(G144&gt;=106%,"Excellent", G144&gt;=100%,"Good", G144&gt;=80%,"Average", G144&lt;80%,"Poor")</f>
        <v>Excellent</v>
      </c>
      <c r="I144" t="str" cm="1">
        <f t="array" ref="I144">_xlfn.IFS(H144="Poor","Below Target",  H144="Average","Near Target",  H144="Good","Target Achieved", H144="Excellent","Target Exceeded")</f>
        <v>Target Exceeded</v>
      </c>
    </row>
    <row r="145" spans="1:9" x14ac:dyDescent="0.3">
      <c r="A145" s="2" t="s">
        <v>304</v>
      </c>
      <c r="B145" s="2" t="s">
        <v>34</v>
      </c>
      <c r="C145" s="2" t="s">
        <v>31</v>
      </c>
      <c r="D145" s="12" t="s">
        <v>305</v>
      </c>
      <c r="E145" s="7">
        <v>880610</v>
      </c>
      <c r="F145" s="7">
        <v>1527525</v>
      </c>
      <c r="G145" s="8">
        <f>F145/E145</f>
        <v>1.7346214555819262</v>
      </c>
      <c r="H145" s="2" t="str" cm="1">
        <f t="array" ref="H145">_xlfn.IFS(G145&gt;=106%,"Excellent", G145&gt;=100%,"Good", G145&gt;=80%,"Average", G145&lt;80%,"Poor")</f>
        <v>Excellent</v>
      </c>
      <c r="I145" t="str" cm="1">
        <f t="array" ref="I145">_xlfn.IFS(H145="Poor","Below Target",  H145="Average","Near Target",  H145="Good","Target Achieved", H145="Excellent","Target Exceeded")</f>
        <v>Target Exceeded</v>
      </c>
    </row>
    <row r="146" spans="1:9" x14ac:dyDescent="0.3">
      <c r="A146" s="2" t="s">
        <v>367</v>
      </c>
      <c r="B146" s="2" t="s">
        <v>8</v>
      </c>
      <c r="C146" s="2" t="s">
        <v>9</v>
      </c>
      <c r="D146" s="12" t="s">
        <v>368</v>
      </c>
      <c r="E146" s="7">
        <v>1147879</v>
      </c>
      <c r="F146" s="7">
        <v>1953836</v>
      </c>
      <c r="G146" s="8">
        <f>F146/E146</f>
        <v>1.702127140578406</v>
      </c>
      <c r="H146" s="2" t="str" cm="1">
        <f t="array" ref="H146">_xlfn.IFS(G146&gt;=106%,"Excellent", G146&gt;=100%,"Good", G146&gt;=80%,"Average", G146&lt;80%,"Poor")</f>
        <v>Excellent</v>
      </c>
      <c r="I146" t="str" cm="1">
        <f t="array" ref="I146">_xlfn.IFS(H146="Poor","Below Target",  H146="Average","Near Target",  H146="Good","Target Achieved", H146="Excellent","Target Exceeded")</f>
        <v>Target Exceeded</v>
      </c>
    </row>
    <row r="147" spans="1:9" x14ac:dyDescent="0.3">
      <c r="A147" s="2" t="s">
        <v>143</v>
      </c>
      <c r="B147" s="2" t="s">
        <v>27</v>
      </c>
      <c r="C147" s="2" t="s">
        <v>31</v>
      </c>
      <c r="D147" s="12" t="s">
        <v>144</v>
      </c>
      <c r="E147" s="7">
        <v>838861</v>
      </c>
      <c r="F147" s="7">
        <v>1854473</v>
      </c>
      <c r="G147" s="8">
        <f>F147/E147</f>
        <v>2.2107035611382577</v>
      </c>
      <c r="H147" s="2" t="str" cm="1">
        <f t="array" ref="H147">_xlfn.IFS(G147&gt;=106%,"Excellent", G147&gt;=100%,"Good", G147&gt;=80%,"Average", G147&lt;80%,"Poor")</f>
        <v>Excellent</v>
      </c>
      <c r="I147" t="str" cm="1">
        <f t="array" ref="I147">_xlfn.IFS(H147="Poor","Below Target",  H147="Average","Near Target",  H147="Good","Target Achieved", H147="Excellent","Target Exceeded")</f>
        <v>Target Exceeded</v>
      </c>
    </row>
    <row r="148" spans="1:9" x14ac:dyDescent="0.3">
      <c r="A148" s="2" t="s">
        <v>19</v>
      </c>
      <c r="B148" s="2" t="s">
        <v>20</v>
      </c>
      <c r="C148" s="2" t="s">
        <v>13</v>
      </c>
      <c r="D148" s="12" t="s">
        <v>21</v>
      </c>
      <c r="E148" s="7">
        <v>1379796</v>
      </c>
      <c r="F148" s="7">
        <v>762297</v>
      </c>
      <c r="G148" s="8">
        <f>F148/E148</f>
        <v>0.552470800031309</v>
      </c>
      <c r="H148" s="2" t="str" cm="1">
        <f t="array" ref="H148">_xlfn.IFS(G148&gt;=106%,"Excellent", G148&gt;=100%,"Good", G148&gt;=80%,"Average", G148&lt;80%,"Poor")</f>
        <v>Poor</v>
      </c>
      <c r="I148" t="str" cm="1">
        <f t="array" ref="I148">_xlfn.IFS(H148="Poor","Below Target",  H148="Average","Near Target",  H148="Good","Target Achieved", H148="Excellent","Target Exceeded")</f>
        <v>Below Target</v>
      </c>
    </row>
    <row r="149" spans="1:9" x14ac:dyDescent="0.3">
      <c r="A149" s="2" t="s">
        <v>309</v>
      </c>
      <c r="B149" s="2" t="s">
        <v>49</v>
      </c>
      <c r="C149" s="2" t="s">
        <v>56</v>
      </c>
      <c r="D149" s="12" t="s">
        <v>310</v>
      </c>
      <c r="E149" s="7">
        <v>1653636</v>
      </c>
      <c r="F149" s="7">
        <v>376959</v>
      </c>
      <c r="G149" s="8">
        <f>F149/E149</f>
        <v>0.22795766420179531</v>
      </c>
      <c r="H149" s="2" t="str" cm="1">
        <f t="array" ref="H149">_xlfn.IFS(G149&gt;=106%,"Excellent", G149&gt;=100%,"Good", G149&gt;=80%,"Average", G149&lt;80%,"Poor")</f>
        <v>Poor</v>
      </c>
      <c r="I149" t="str" cm="1">
        <f t="array" ref="I149">_xlfn.IFS(H149="Poor","Below Target",  H149="Average","Near Target",  H149="Good","Target Achieved", H149="Excellent","Target Exceeded")</f>
        <v>Below Target</v>
      </c>
    </row>
    <row r="150" spans="1:9" x14ac:dyDescent="0.3">
      <c r="A150" s="2" t="s">
        <v>337</v>
      </c>
      <c r="B150" s="2" t="s">
        <v>8</v>
      </c>
      <c r="C150" s="2" t="s">
        <v>56</v>
      </c>
      <c r="D150" s="12" t="s">
        <v>338</v>
      </c>
      <c r="E150" s="7">
        <v>709110</v>
      </c>
      <c r="F150" s="7">
        <v>1402999</v>
      </c>
      <c r="G150" s="8">
        <f>F150/E150</f>
        <v>1.9785350650815812</v>
      </c>
      <c r="H150" s="2" t="str" cm="1">
        <f t="array" ref="H150">_xlfn.IFS(G150&gt;=106%,"Excellent", G150&gt;=100%,"Good", G150&gt;=80%,"Average", G150&lt;80%,"Poor")</f>
        <v>Excellent</v>
      </c>
      <c r="I150" t="str" cm="1">
        <f t="array" ref="I150">_xlfn.IFS(H150="Poor","Below Target",  H150="Average","Near Target",  H150="Good","Target Achieved", H150="Excellent","Target Exceeded")</f>
        <v>Target Exceeded</v>
      </c>
    </row>
    <row r="151" spans="1:9" x14ac:dyDescent="0.3">
      <c r="A151" s="2" t="s">
        <v>129</v>
      </c>
      <c r="B151" s="2" t="s">
        <v>34</v>
      </c>
      <c r="C151" s="2" t="s">
        <v>31</v>
      </c>
      <c r="D151" s="12" t="s">
        <v>130</v>
      </c>
      <c r="E151" s="7">
        <v>652133</v>
      </c>
      <c r="F151" s="7">
        <v>319535</v>
      </c>
      <c r="G151" s="8">
        <f>F151/E151</f>
        <v>0.48998440502167501</v>
      </c>
      <c r="H151" s="2" t="str" cm="1">
        <f t="array" ref="H151">_xlfn.IFS(G151&gt;=106%,"Excellent", G151&gt;=100%,"Good", G151&gt;=80%,"Average", G151&lt;80%,"Poor")</f>
        <v>Poor</v>
      </c>
      <c r="I151" t="str" cm="1">
        <f t="array" ref="I151">_xlfn.IFS(H151="Poor","Below Target",  H151="Average","Near Target",  H151="Good","Target Achieved", H151="Excellent","Target Exceeded")</f>
        <v>Below Target</v>
      </c>
    </row>
    <row r="152" spans="1:9" x14ac:dyDescent="0.3">
      <c r="A152" s="2" t="s">
        <v>158</v>
      </c>
      <c r="B152" s="2" t="s">
        <v>34</v>
      </c>
      <c r="C152" s="2" t="s">
        <v>24</v>
      </c>
      <c r="D152" s="12" t="s">
        <v>159</v>
      </c>
      <c r="E152" s="7">
        <v>918534</v>
      </c>
      <c r="F152" s="7">
        <v>2012506</v>
      </c>
      <c r="G152" s="8">
        <f>F152/E152</f>
        <v>2.1909978291494925</v>
      </c>
      <c r="H152" s="2" t="str" cm="1">
        <f t="array" ref="H152">_xlfn.IFS(G152&gt;=106%,"Excellent", G152&gt;=100%,"Good", G152&gt;=80%,"Average", G152&lt;80%,"Poor")</f>
        <v>Excellent</v>
      </c>
      <c r="I152" t="str" cm="1">
        <f t="array" ref="I152">_xlfn.IFS(H152="Poor","Below Target",  H152="Average","Near Target",  H152="Good","Target Achieved", H152="Excellent","Target Exceeded")</f>
        <v>Target Exceeded</v>
      </c>
    </row>
    <row r="153" spans="1:9" x14ac:dyDescent="0.3">
      <c r="A153" s="2" t="s">
        <v>242</v>
      </c>
      <c r="B153" s="2" t="s">
        <v>42</v>
      </c>
      <c r="C153" s="2" t="s">
        <v>31</v>
      </c>
      <c r="D153" s="12" t="s">
        <v>159</v>
      </c>
      <c r="E153" s="7">
        <v>1832918</v>
      </c>
      <c r="F153" s="7">
        <v>2169768</v>
      </c>
      <c r="G153" s="8">
        <f>F153/E153</f>
        <v>1.1837779977063896</v>
      </c>
      <c r="H153" s="2" t="str" cm="1">
        <f t="array" ref="H153">_xlfn.IFS(G153&gt;=106%,"Excellent", G153&gt;=100%,"Good", G153&gt;=80%,"Average", G153&lt;80%,"Poor")</f>
        <v>Excellent</v>
      </c>
      <c r="I153" t="str" cm="1">
        <f t="array" ref="I153">_xlfn.IFS(H153="Poor","Below Target",  H153="Average","Near Target",  H153="Good","Target Achieved", H153="Excellent","Target Exceeded")</f>
        <v>Target Exceeded</v>
      </c>
    </row>
    <row r="154" spans="1:9" x14ac:dyDescent="0.3">
      <c r="A154" s="2" t="s">
        <v>46</v>
      </c>
      <c r="B154" s="2" t="s">
        <v>27</v>
      </c>
      <c r="C154" s="2" t="s">
        <v>13</v>
      </c>
      <c r="D154" s="12" t="s">
        <v>47</v>
      </c>
      <c r="E154" s="7">
        <v>1013405</v>
      </c>
      <c r="F154" s="7">
        <v>642679</v>
      </c>
      <c r="G154" s="8">
        <f>F154/E154</f>
        <v>0.63417784597470905</v>
      </c>
      <c r="H154" s="2" t="str" cm="1">
        <f t="array" ref="H154">_xlfn.IFS(G154&gt;=106%,"Excellent", G154&gt;=100%,"Good", G154&gt;=80%,"Average", G154&lt;80%,"Poor")</f>
        <v>Poor</v>
      </c>
      <c r="I154" t="str" cm="1">
        <f t="array" ref="I154">_xlfn.IFS(H154="Poor","Below Target",  H154="Average","Near Target",  H154="Good","Target Achieved", H154="Excellent","Target Exceeded")</f>
        <v>Below Target</v>
      </c>
    </row>
    <row r="155" spans="1:9" x14ac:dyDescent="0.3">
      <c r="A155" s="2" t="s">
        <v>354</v>
      </c>
      <c r="B155" s="2" t="s">
        <v>34</v>
      </c>
      <c r="C155" s="2" t="s">
        <v>13</v>
      </c>
      <c r="D155" s="12" t="s">
        <v>47</v>
      </c>
      <c r="E155" s="7">
        <v>800139</v>
      </c>
      <c r="F155" s="7">
        <v>786934</v>
      </c>
      <c r="G155" s="8">
        <f>F155/E155</f>
        <v>0.98349661746271588</v>
      </c>
      <c r="H155" s="2" t="str" cm="1">
        <f t="array" ref="H155">_xlfn.IFS(G155&gt;=106%,"Excellent", G155&gt;=100%,"Good", G155&gt;=80%,"Average", G155&lt;80%,"Poor")</f>
        <v>Average</v>
      </c>
      <c r="I155" t="str" cm="1">
        <f t="array" ref="I155">_xlfn.IFS(H155="Poor","Below Target",  H155="Average","Near Target",  H155="Good","Target Achieved", H155="Excellent","Target Exceeded")</f>
        <v>Near Target</v>
      </c>
    </row>
    <row r="156" spans="1:9" x14ac:dyDescent="0.3">
      <c r="A156" s="2" t="s">
        <v>247</v>
      </c>
      <c r="B156" s="2" t="s">
        <v>8</v>
      </c>
      <c r="C156" s="2" t="s">
        <v>31</v>
      </c>
      <c r="D156" s="12" t="s">
        <v>248</v>
      </c>
      <c r="E156" s="7">
        <v>1445400</v>
      </c>
      <c r="F156" s="7">
        <v>811418</v>
      </c>
      <c r="G156" s="8">
        <f>F156/E156</f>
        <v>0.56137954891379549</v>
      </c>
      <c r="H156" s="2" t="str" cm="1">
        <f t="array" ref="H156">_xlfn.IFS(G156&gt;=106%,"Excellent", G156&gt;=100%,"Good", G156&gt;=80%,"Average", G156&lt;80%,"Poor")</f>
        <v>Poor</v>
      </c>
      <c r="I156" t="str" cm="1">
        <f t="array" ref="I156">_xlfn.IFS(H156="Poor","Below Target",  H156="Average","Near Target",  H156="Good","Target Achieved", H156="Excellent","Target Exceeded")</f>
        <v>Below Target</v>
      </c>
    </row>
    <row r="157" spans="1:9" x14ac:dyDescent="0.3">
      <c r="A157" s="2" t="s">
        <v>355</v>
      </c>
      <c r="B157" s="2" t="s">
        <v>34</v>
      </c>
      <c r="C157" s="2" t="s">
        <v>31</v>
      </c>
      <c r="D157" s="12" t="s">
        <v>356</v>
      </c>
      <c r="E157" s="7">
        <v>1898466</v>
      </c>
      <c r="F157" s="7">
        <v>319707</v>
      </c>
      <c r="G157" s="8">
        <f>F157/E157</f>
        <v>0.16840280521220818</v>
      </c>
      <c r="H157" s="2" t="str" cm="1">
        <f t="array" ref="H157">_xlfn.IFS(G157&gt;=106%,"Excellent", G157&gt;=100%,"Good", G157&gt;=80%,"Average", G157&lt;80%,"Poor")</f>
        <v>Poor</v>
      </c>
      <c r="I157" t="str" cm="1">
        <f t="array" ref="I157">_xlfn.IFS(H157="Poor","Below Target",  H157="Average","Near Target",  H157="Good","Target Achieved", H157="Excellent","Target Exceeded")</f>
        <v>Below Target</v>
      </c>
    </row>
    <row r="158" spans="1:9" x14ac:dyDescent="0.3">
      <c r="A158" s="2" t="s">
        <v>64</v>
      </c>
      <c r="B158" s="2" t="s">
        <v>8</v>
      </c>
      <c r="C158" s="2" t="s">
        <v>56</v>
      </c>
      <c r="D158" s="12" t="s">
        <v>65</v>
      </c>
      <c r="E158" s="7">
        <v>1300313</v>
      </c>
      <c r="F158" s="7">
        <v>1549668</v>
      </c>
      <c r="G158" s="8">
        <f>F158/E158</f>
        <v>1.1917653672615747</v>
      </c>
      <c r="H158" s="2" t="str" cm="1">
        <f t="array" ref="H158">_xlfn.IFS(G158&gt;=106%,"Excellent", G158&gt;=100%,"Good", G158&gt;=80%,"Average", G158&lt;80%,"Poor")</f>
        <v>Excellent</v>
      </c>
      <c r="I158" t="str" cm="1">
        <f t="array" ref="I158">_xlfn.IFS(H158="Poor","Below Target",  H158="Average","Near Target",  H158="Good","Target Achieved", H158="Excellent","Target Exceeded")</f>
        <v>Target Exceeded</v>
      </c>
    </row>
    <row r="159" spans="1:9" x14ac:dyDescent="0.3">
      <c r="A159" s="2" t="s">
        <v>285</v>
      </c>
      <c r="B159" s="2" t="s">
        <v>42</v>
      </c>
      <c r="C159" s="2" t="s">
        <v>56</v>
      </c>
      <c r="D159" s="12" t="s">
        <v>286</v>
      </c>
      <c r="E159" s="7">
        <v>1945716</v>
      </c>
      <c r="F159" s="7">
        <v>1545312</v>
      </c>
      <c r="G159" s="8">
        <f>F159/E159</f>
        <v>0.79421251611232058</v>
      </c>
      <c r="H159" s="2" t="str" cm="1">
        <f t="array" ref="H159">_xlfn.IFS(G159&gt;=106%,"Excellent", G159&gt;=100%,"Good", G159&gt;=80%,"Average", G159&lt;80%,"Poor")</f>
        <v>Poor</v>
      </c>
      <c r="I159" t="str" cm="1">
        <f t="array" ref="I159">_xlfn.IFS(H159="Poor","Below Target",  H159="Average","Near Target",  H159="Good","Target Achieved", H159="Excellent","Target Exceeded")</f>
        <v>Below Target</v>
      </c>
    </row>
    <row r="160" spans="1:9" x14ac:dyDescent="0.3">
      <c r="A160" s="2" t="s">
        <v>418</v>
      </c>
      <c r="B160" s="2" t="s">
        <v>49</v>
      </c>
      <c r="C160" s="2" t="s">
        <v>31</v>
      </c>
      <c r="D160" s="12" t="s">
        <v>419</v>
      </c>
      <c r="E160" s="7">
        <v>820107</v>
      </c>
      <c r="F160" s="7">
        <v>1740368</v>
      </c>
      <c r="G160" s="8">
        <f>F160/E160</f>
        <v>2.1221230888164593</v>
      </c>
      <c r="H160" s="2" t="str" cm="1">
        <f t="array" ref="H160">_xlfn.IFS(G160&gt;=106%,"Excellent", G160&gt;=100%,"Good", G160&gt;=80%,"Average", G160&lt;80%,"Poor")</f>
        <v>Excellent</v>
      </c>
      <c r="I160" t="str" cm="1">
        <f t="array" ref="I160">_xlfn.IFS(H160="Poor","Below Target",  H160="Average","Near Target",  H160="Good","Target Achieved", H160="Excellent","Target Exceeded")</f>
        <v>Target Exceeded</v>
      </c>
    </row>
    <row r="161" spans="1:9" x14ac:dyDescent="0.3">
      <c r="A161" s="2" t="s">
        <v>186</v>
      </c>
      <c r="B161" s="2" t="s">
        <v>27</v>
      </c>
      <c r="C161" s="2" t="s">
        <v>9</v>
      </c>
      <c r="D161" s="12" t="s">
        <v>187</v>
      </c>
      <c r="E161" s="7">
        <v>596917</v>
      </c>
      <c r="F161" s="7">
        <v>813472</v>
      </c>
      <c r="G161" s="8">
        <f>F161/E161</f>
        <v>1.3627891314872922</v>
      </c>
      <c r="H161" s="2" t="str" cm="1">
        <f t="array" ref="H161">_xlfn.IFS(G161&gt;=106%,"Excellent", G161&gt;=100%,"Good", G161&gt;=80%,"Average", G161&lt;80%,"Poor")</f>
        <v>Excellent</v>
      </c>
      <c r="I161" t="str" cm="1">
        <f t="array" ref="I161">_xlfn.IFS(H161="Poor","Below Target",  H161="Average","Near Target",  H161="Good","Target Achieved", H161="Excellent","Target Exceeded")</f>
        <v>Target Exceeded</v>
      </c>
    </row>
    <row r="162" spans="1:9" x14ac:dyDescent="0.3">
      <c r="A162" s="2" t="s">
        <v>117</v>
      </c>
      <c r="B162" s="2" t="s">
        <v>37</v>
      </c>
      <c r="C162" s="2" t="s">
        <v>9</v>
      </c>
      <c r="D162" s="12" t="s">
        <v>118</v>
      </c>
      <c r="E162" s="7">
        <v>605156</v>
      </c>
      <c r="F162" s="7">
        <v>1525109</v>
      </c>
      <c r="G162" s="8">
        <f>F162/E162</f>
        <v>2.5201914878147123</v>
      </c>
      <c r="H162" s="2" t="str" cm="1">
        <f t="array" ref="H162">_xlfn.IFS(G162&gt;=106%,"Excellent", G162&gt;=100%,"Good", G162&gt;=80%,"Average", G162&lt;80%,"Poor")</f>
        <v>Excellent</v>
      </c>
      <c r="I162" t="str" cm="1">
        <f t="array" ref="I162">_xlfn.IFS(H162="Poor","Below Target",  H162="Average","Near Target",  H162="Good","Target Achieved", H162="Excellent","Target Exceeded")</f>
        <v>Target Exceeded</v>
      </c>
    </row>
    <row r="163" spans="1:9" x14ac:dyDescent="0.3">
      <c r="A163" s="2" t="s">
        <v>109</v>
      </c>
      <c r="B163" s="2" t="s">
        <v>20</v>
      </c>
      <c r="C163" s="2" t="s">
        <v>24</v>
      </c>
      <c r="D163" s="12" t="s">
        <v>110</v>
      </c>
      <c r="E163" s="7">
        <v>1352312</v>
      </c>
      <c r="F163" s="7">
        <v>1318463</v>
      </c>
      <c r="G163" s="8">
        <f>F163/E163</f>
        <v>0.97496953365791328</v>
      </c>
      <c r="H163" s="2" t="str" cm="1">
        <f t="array" ref="H163">_xlfn.IFS(G163&gt;=106%,"Excellent", G163&gt;=100%,"Good", G163&gt;=80%,"Average", G163&lt;80%,"Poor")</f>
        <v>Average</v>
      </c>
      <c r="I163" t="str" cm="1">
        <f t="array" ref="I163">_xlfn.IFS(H163="Poor","Below Target",  H163="Average","Near Target",  H163="Good","Target Achieved", H163="Excellent","Target Exceeded")</f>
        <v>Near Target</v>
      </c>
    </row>
    <row r="164" spans="1:9" x14ac:dyDescent="0.3">
      <c r="A164" s="2" t="s">
        <v>371</v>
      </c>
      <c r="B164" s="2" t="s">
        <v>49</v>
      </c>
      <c r="C164" s="2" t="s">
        <v>24</v>
      </c>
      <c r="D164" s="12" t="s">
        <v>110</v>
      </c>
      <c r="E164" s="7">
        <v>1038905</v>
      </c>
      <c r="F164" s="7">
        <v>2029499</v>
      </c>
      <c r="G164" s="8">
        <f>F164/E164</f>
        <v>1.9534981543066978</v>
      </c>
      <c r="H164" s="2" t="str" cm="1">
        <f t="array" ref="H164">_xlfn.IFS(G164&gt;=106%,"Excellent", G164&gt;=100%,"Good", G164&gt;=80%,"Average", G164&lt;80%,"Poor")</f>
        <v>Excellent</v>
      </c>
      <c r="I164" t="str" cm="1">
        <f t="array" ref="I164">_xlfn.IFS(H164="Poor","Below Target",  H164="Average","Near Target",  H164="Good","Target Achieved", H164="Excellent","Target Exceeded")</f>
        <v>Target Exceeded</v>
      </c>
    </row>
    <row r="165" spans="1:9" x14ac:dyDescent="0.3">
      <c r="A165" s="2" t="s">
        <v>213</v>
      </c>
      <c r="B165" s="2" t="s">
        <v>34</v>
      </c>
      <c r="C165" s="2" t="s">
        <v>24</v>
      </c>
      <c r="D165" s="12" t="s">
        <v>214</v>
      </c>
      <c r="E165" s="7">
        <v>1072386</v>
      </c>
      <c r="F165" s="7">
        <v>1214014</v>
      </c>
      <c r="G165" s="8">
        <f>F165/E165</f>
        <v>1.1320681172637463</v>
      </c>
      <c r="H165" s="2" t="str" cm="1">
        <f t="array" ref="H165">_xlfn.IFS(G165&gt;=106%,"Excellent", G165&gt;=100%,"Good", G165&gt;=80%,"Average", G165&lt;80%,"Poor")</f>
        <v>Excellent</v>
      </c>
      <c r="I165" t="str" cm="1">
        <f t="array" ref="I165">_xlfn.IFS(H165="Poor","Below Target",  H165="Average","Near Target",  H165="Good","Target Achieved", H165="Excellent","Target Exceeded")</f>
        <v>Target Exceeded</v>
      </c>
    </row>
    <row r="166" spans="1:9" x14ac:dyDescent="0.3">
      <c r="A166" s="2" t="s">
        <v>439</v>
      </c>
      <c r="B166" s="2" t="s">
        <v>49</v>
      </c>
      <c r="C166" s="2" t="s">
        <v>56</v>
      </c>
      <c r="D166" s="12" t="s">
        <v>214</v>
      </c>
      <c r="E166" s="7">
        <v>1888186</v>
      </c>
      <c r="F166" s="7">
        <v>1189223</v>
      </c>
      <c r="G166" s="8">
        <f>F166/E166</f>
        <v>0.62982301531734697</v>
      </c>
      <c r="H166" s="2" t="str" cm="1">
        <f t="array" ref="H166">_xlfn.IFS(G166&gt;=106%,"Excellent", G166&gt;=100%,"Good", G166&gt;=80%,"Average", G166&lt;80%,"Poor")</f>
        <v>Poor</v>
      </c>
      <c r="I166" t="str" cm="1">
        <f t="array" ref="I166">_xlfn.IFS(H166="Poor","Below Target",  H166="Average","Near Target",  H166="Good","Target Achieved", H166="Excellent","Target Exceeded")</f>
        <v>Below Target</v>
      </c>
    </row>
    <row r="167" spans="1:9" x14ac:dyDescent="0.3">
      <c r="A167" s="2" t="s">
        <v>240</v>
      </c>
      <c r="B167" s="2" t="s">
        <v>37</v>
      </c>
      <c r="C167" s="2" t="s">
        <v>9</v>
      </c>
      <c r="D167" s="12" t="s">
        <v>241</v>
      </c>
      <c r="E167" s="7">
        <v>1380927</v>
      </c>
      <c r="F167" s="7">
        <v>2024552</v>
      </c>
      <c r="G167" s="8">
        <f>F167/E167</f>
        <v>1.4660818421248916</v>
      </c>
      <c r="H167" s="2" t="str" cm="1">
        <f t="array" ref="H167">_xlfn.IFS(G167&gt;=106%,"Excellent", G167&gt;=100%,"Good", G167&gt;=80%,"Average", G167&lt;80%,"Poor")</f>
        <v>Excellent</v>
      </c>
      <c r="I167" t="str" cm="1">
        <f t="array" ref="I167">_xlfn.IFS(H167="Poor","Below Target",  H167="Average","Near Target",  H167="Good","Target Achieved", H167="Excellent","Target Exceeded")</f>
        <v>Target Exceeded</v>
      </c>
    </row>
    <row r="168" spans="1:9" x14ac:dyDescent="0.3">
      <c r="A168" s="2" t="s">
        <v>387</v>
      </c>
      <c r="B168" s="2" t="s">
        <v>27</v>
      </c>
      <c r="C168" s="2" t="s">
        <v>56</v>
      </c>
      <c r="D168" s="12" t="s">
        <v>241</v>
      </c>
      <c r="E168" s="7">
        <v>1873470</v>
      </c>
      <c r="F168" s="7">
        <v>507663</v>
      </c>
      <c r="G168" s="8">
        <f>F168/E168</f>
        <v>0.27097471536774009</v>
      </c>
      <c r="H168" s="2" t="str" cm="1">
        <f t="array" ref="H168">_xlfn.IFS(G168&gt;=106%,"Excellent", G168&gt;=100%,"Good", G168&gt;=80%,"Average", G168&lt;80%,"Poor")</f>
        <v>Poor</v>
      </c>
      <c r="I168" t="str" cm="1">
        <f t="array" ref="I168">_xlfn.IFS(H168="Poor","Below Target",  H168="Average","Near Target",  H168="Good","Target Achieved", H168="Excellent","Target Exceeded")</f>
        <v>Below Target</v>
      </c>
    </row>
    <row r="169" spans="1:9" x14ac:dyDescent="0.3">
      <c r="A169" s="2" t="s">
        <v>255</v>
      </c>
      <c r="B169" s="2" t="s">
        <v>20</v>
      </c>
      <c r="C169" s="2" t="s">
        <v>56</v>
      </c>
      <c r="D169" s="12" t="s">
        <v>256</v>
      </c>
      <c r="E169" s="7">
        <v>1854556</v>
      </c>
      <c r="F169" s="7">
        <v>1792841</v>
      </c>
      <c r="G169" s="8">
        <f>F169/E169</f>
        <v>0.96672249314660763</v>
      </c>
      <c r="H169" s="2" t="str" cm="1">
        <f t="array" ref="H169">_xlfn.IFS(G169&gt;=106%,"Excellent", G169&gt;=100%,"Good", G169&gt;=80%,"Average", G169&lt;80%,"Poor")</f>
        <v>Average</v>
      </c>
      <c r="I169" t="str" cm="1">
        <f t="array" ref="I169">_xlfn.IFS(H169="Poor","Below Target",  H169="Average","Near Target",  H169="Good","Target Achieved", H169="Excellent","Target Exceeded")</f>
        <v>Near Target</v>
      </c>
    </row>
    <row r="170" spans="1:9" x14ac:dyDescent="0.3">
      <c r="A170" s="2" t="s">
        <v>274</v>
      </c>
      <c r="B170" s="2" t="s">
        <v>34</v>
      </c>
      <c r="C170" s="2" t="s">
        <v>9</v>
      </c>
      <c r="D170" s="12" t="s">
        <v>256</v>
      </c>
      <c r="E170" s="7">
        <v>637035</v>
      </c>
      <c r="F170" s="7">
        <v>1140344</v>
      </c>
      <c r="G170" s="8">
        <f>F170/E170</f>
        <v>1.7900806078158971</v>
      </c>
      <c r="H170" s="2" t="str" cm="1">
        <f t="array" ref="H170">_xlfn.IFS(G170&gt;=106%,"Excellent", G170&gt;=100%,"Good", G170&gt;=80%,"Average", G170&lt;80%,"Poor")</f>
        <v>Excellent</v>
      </c>
      <c r="I170" t="str" cm="1">
        <f t="array" ref="I170">_xlfn.IFS(H170="Poor","Below Target",  H170="Average","Near Target",  H170="Good","Target Achieved", H170="Excellent","Target Exceeded")</f>
        <v>Target Exceeded</v>
      </c>
    </row>
    <row r="171" spans="1:9" x14ac:dyDescent="0.3">
      <c r="A171" s="2" t="s">
        <v>60</v>
      </c>
      <c r="B171" s="2" t="s">
        <v>37</v>
      </c>
      <c r="C171" s="2" t="s">
        <v>24</v>
      </c>
      <c r="D171" s="12" t="s">
        <v>61</v>
      </c>
      <c r="E171" s="7">
        <v>790102</v>
      </c>
      <c r="F171" s="7">
        <v>1368554</v>
      </c>
      <c r="G171" s="8">
        <f>F171/E171</f>
        <v>1.7321231942204931</v>
      </c>
      <c r="H171" s="2" t="str" cm="1">
        <f t="array" ref="H171">_xlfn.IFS(G171&gt;=106%,"Excellent", G171&gt;=100%,"Good", G171&gt;=80%,"Average", G171&lt;80%,"Poor")</f>
        <v>Excellent</v>
      </c>
      <c r="I171" t="str" cm="1">
        <f t="array" ref="I171">_xlfn.IFS(H171="Poor","Below Target",  H171="Average","Near Target",  H171="Good","Target Achieved", H171="Excellent","Target Exceeded")</f>
        <v>Target Exceeded</v>
      </c>
    </row>
    <row r="172" spans="1:9" x14ac:dyDescent="0.3">
      <c r="A172" s="2" t="s">
        <v>297</v>
      </c>
      <c r="B172" s="2" t="s">
        <v>42</v>
      </c>
      <c r="C172" s="2" t="s">
        <v>31</v>
      </c>
      <c r="D172" s="12" t="s">
        <v>61</v>
      </c>
      <c r="E172" s="7">
        <v>1549566</v>
      </c>
      <c r="F172" s="7">
        <v>1432423</v>
      </c>
      <c r="G172" s="8">
        <f>F172/E172</f>
        <v>0.92440270372478484</v>
      </c>
      <c r="H172" s="2" t="str" cm="1">
        <f t="array" ref="H172">_xlfn.IFS(G172&gt;=106%,"Excellent", G172&gt;=100%,"Good", G172&gt;=80%,"Average", G172&lt;80%,"Poor")</f>
        <v>Average</v>
      </c>
      <c r="I172" t="str" cm="1">
        <f t="array" ref="I172">_xlfn.IFS(H172="Poor","Below Target",  H172="Average","Near Target",  H172="Good","Target Achieved", H172="Excellent","Target Exceeded")</f>
        <v>Near Target</v>
      </c>
    </row>
    <row r="173" spans="1:9" x14ac:dyDescent="0.3">
      <c r="A173" s="2" t="s">
        <v>447</v>
      </c>
      <c r="B173" s="2" t="s">
        <v>49</v>
      </c>
      <c r="C173" s="2" t="s">
        <v>31</v>
      </c>
      <c r="D173" s="12" t="s">
        <v>448</v>
      </c>
      <c r="E173" s="7">
        <v>751625</v>
      </c>
      <c r="F173" s="7">
        <v>316210</v>
      </c>
      <c r="G173" s="8">
        <f>F173/E173</f>
        <v>0.42070181273906537</v>
      </c>
      <c r="H173" s="2" t="str" cm="1">
        <f t="array" ref="H173">_xlfn.IFS(G173&gt;=106%,"Excellent", G173&gt;=100%,"Good", G173&gt;=80%,"Average", G173&lt;80%,"Poor")</f>
        <v>Poor</v>
      </c>
      <c r="I173" t="str" cm="1">
        <f t="array" ref="I173">_xlfn.IFS(H173="Poor","Below Target",  H173="Average","Near Target",  H173="Good","Target Achieved", H173="Excellent","Target Exceeded")</f>
        <v>Below Target</v>
      </c>
    </row>
    <row r="174" spans="1:9" x14ac:dyDescent="0.3">
      <c r="A174" s="2" t="s">
        <v>16</v>
      </c>
      <c r="B174" s="2" t="s">
        <v>17</v>
      </c>
      <c r="C174" s="2" t="s">
        <v>9</v>
      </c>
      <c r="D174" s="12" t="s">
        <v>18</v>
      </c>
      <c r="E174" s="7">
        <v>958517</v>
      </c>
      <c r="F174" s="7">
        <v>787925</v>
      </c>
      <c r="G174" s="8">
        <f>F174/E174</f>
        <v>0.82202506580477963</v>
      </c>
      <c r="H174" s="2" t="str" cm="1">
        <f t="array" ref="H174">_xlfn.IFS(G174&gt;=106%,"Excellent", G174&gt;=100%,"Good", G174&gt;=80%,"Average", G174&lt;80%,"Poor")</f>
        <v>Average</v>
      </c>
      <c r="I174" t="str" cm="1">
        <f t="array" ref="I174">_xlfn.IFS(H174="Poor","Below Target",  H174="Average","Near Target",  H174="Good","Target Achieved", H174="Excellent","Target Exceeded")</f>
        <v>Near Target</v>
      </c>
    </row>
    <row r="175" spans="1:9" x14ac:dyDescent="0.3">
      <c r="A175" s="2" t="s">
        <v>325</v>
      </c>
      <c r="B175" s="2" t="s">
        <v>49</v>
      </c>
      <c r="C175" s="2" t="s">
        <v>56</v>
      </c>
      <c r="D175" s="12" t="s">
        <v>326</v>
      </c>
      <c r="E175" s="7">
        <v>1212770</v>
      </c>
      <c r="F175" s="7">
        <v>1951963</v>
      </c>
      <c r="G175" s="8">
        <f>F175/E175</f>
        <v>1.6095079858505734</v>
      </c>
      <c r="H175" s="2" t="str" cm="1">
        <f t="array" ref="H175">_xlfn.IFS(G175&gt;=106%,"Excellent", G175&gt;=100%,"Good", G175&gt;=80%,"Average", G175&lt;80%,"Poor")</f>
        <v>Excellent</v>
      </c>
      <c r="I175" t="str" cm="1">
        <f t="array" ref="I175">_xlfn.IFS(H175="Poor","Below Target",  H175="Average","Near Target",  H175="Good","Target Achieved", H175="Excellent","Target Exceeded")</f>
        <v>Target Exceeded</v>
      </c>
    </row>
    <row r="176" spans="1:9" x14ac:dyDescent="0.3">
      <c r="A176" s="2" t="s">
        <v>440</v>
      </c>
      <c r="B176" s="2" t="s">
        <v>42</v>
      </c>
      <c r="C176" s="2" t="s">
        <v>31</v>
      </c>
      <c r="D176" s="12" t="s">
        <v>441</v>
      </c>
      <c r="E176" s="7">
        <v>952080</v>
      </c>
      <c r="F176" s="7">
        <v>1883230</v>
      </c>
      <c r="G176" s="8">
        <f>F176/E176</f>
        <v>1.9780165532308209</v>
      </c>
      <c r="H176" s="2" t="str" cm="1">
        <f t="array" ref="H176">_xlfn.IFS(G176&gt;=106%,"Excellent", G176&gt;=100%,"Good", G176&gt;=80%,"Average", G176&lt;80%,"Poor")</f>
        <v>Excellent</v>
      </c>
      <c r="I176" t="str" cm="1">
        <f t="array" ref="I176">_xlfn.IFS(H176="Poor","Below Target",  H176="Average","Near Target",  H176="Good","Target Achieved", H176="Excellent","Target Exceeded")</f>
        <v>Target Exceeded</v>
      </c>
    </row>
    <row r="177" spans="1:9" x14ac:dyDescent="0.3">
      <c r="A177" s="2" t="s">
        <v>86</v>
      </c>
      <c r="B177" s="2" t="s">
        <v>42</v>
      </c>
      <c r="C177" s="2" t="s">
        <v>31</v>
      </c>
      <c r="D177" s="12" t="s">
        <v>87</v>
      </c>
      <c r="E177" s="7">
        <v>1418762</v>
      </c>
      <c r="F177" s="7">
        <v>2186627</v>
      </c>
      <c r="G177" s="8">
        <f>F177/E177</f>
        <v>1.5412218539825566</v>
      </c>
      <c r="H177" s="2" t="str" cm="1">
        <f t="array" ref="H177">_xlfn.IFS(G177&gt;=106%,"Excellent", G177&gt;=100%,"Good", G177&gt;=80%,"Average", G177&lt;80%,"Poor")</f>
        <v>Excellent</v>
      </c>
      <c r="I177" t="str" cm="1">
        <f t="array" ref="I177">_xlfn.IFS(H177="Poor","Below Target",  H177="Average","Near Target",  H177="Good","Target Achieved", H177="Excellent","Target Exceeded")</f>
        <v>Target Exceeded</v>
      </c>
    </row>
    <row r="178" spans="1:9" x14ac:dyDescent="0.3">
      <c r="A178" s="2" t="s">
        <v>313</v>
      </c>
      <c r="B178" s="2" t="s">
        <v>34</v>
      </c>
      <c r="C178" s="2" t="s">
        <v>56</v>
      </c>
      <c r="D178" s="12" t="s">
        <v>314</v>
      </c>
      <c r="E178" s="7">
        <v>613674</v>
      </c>
      <c r="F178" s="7">
        <v>693389</v>
      </c>
      <c r="G178" s="8">
        <f>F178/E178</f>
        <v>1.1298979588511164</v>
      </c>
      <c r="H178" s="2" t="str" cm="1">
        <f t="array" ref="H178">_xlfn.IFS(G178&gt;=106%,"Excellent", G178&gt;=100%,"Good", G178&gt;=80%,"Average", G178&lt;80%,"Poor")</f>
        <v>Excellent</v>
      </c>
      <c r="I178" t="str" cm="1">
        <f t="array" ref="I178">_xlfn.IFS(H178="Poor","Below Target",  H178="Average","Near Target",  H178="Good","Target Achieved", H178="Excellent","Target Exceeded")</f>
        <v>Target Exceeded</v>
      </c>
    </row>
    <row r="179" spans="1:9" x14ac:dyDescent="0.3">
      <c r="A179" s="2" t="s">
        <v>66</v>
      </c>
      <c r="B179" s="2" t="s">
        <v>17</v>
      </c>
      <c r="C179" s="2" t="s">
        <v>9</v>
      </c>
      <c r="D179" s="12" t="s">
        <v>67</v>
      </c>
      <c r="E179" s="7">
        <v>1929650</v>
      </c>
      <c r="F179" s="7">
        <v>2155535</v>
      </c>
      <c r="G179" s="8">
        <f>F179/E179</f>
        <v>1.1170600886171067</v>
      </c>
      <c r="H179" s="2" t="str" cm="1">
        <f t="array" ref="H179">_xlfn.IFS(G179&gt;=106%,"Excellent", G179&gt;=100%,"Good", G179&gt;=80%,"Average", G179&lt;80%,"Poor")</f>
        <v>Excellent</v>
      </c>
      <c r="I179" t="str" cm="1">
        <f t="array" ref="I179">_xlfn.IFS(H179="Poor","Below Target",  H179="Average","Near Target",  H179="Good","Target Achieved", H179="Excellent","Target Exceeded")</f>
        <v>Target Exceeded</v>
      </c>
    </row>
    <row r="180" spans="1:9" x14ac:dyDescent="0.3">
      <c r="A180" s="2" t="s">
        <v>162</v>
      </c>
      <c r="B180" s="2" t="s">
        <v>37</v>
      </c>
      <c r="C180" s="2" t="s">
        <v>13</v>
      </c>
      <c r="D180" s="12" t="s">
        <v>67</v>
      </c>
      <c r="E180" s="7">
        <v>1338186</v>
      </c>
      <c r="F180" s="7">
        <v>1725052</v>
      </c>
      <c r="G180" s="8">
        <f>F180/E180</f>
        <v>1.2890973302664952</v>
      </c>
      <c r="H180" s="2" t="str" cm="1">
        <f t="array" ref="H180">_xlfn.IFS(G180&gt;=106%,"Excellent", G180&gt;=100%,"Good", G180&gt;=80%,"Average", G180&lt;80%,"Poor")</f>
        <v>Excellent</v>
      </c>
      <c r="I180" t="str" cm="1">
        <f t="array" ref="I180">_xlfn.IFS(H180="Poor","Below Target",  H180="Average","Near Target",  H180="Good","Target Achieved", H180="Excellent","Target Exceeded")</f>
        <v>Target Exceeded</v>
      </c>
    </row>
    <row r="181" spans="1:9" x14ac:dyDescent="0.3">
      <c r="A181" s="2" t="s">
        <v>384</v>
      </c>
      <c r="B181" s="2" t="s">
        <v>8</v>
      </c>
      <c r="C181" s="2" t="s">
        <v>9</v>
      </c>
      <c r="D181" s="12" t="s">
        <v>385</v>
      </c>
      <c r="E181" s="7">
        <v>992411</v>
      </c>
      <c r="F181" s="7">
        <v>2160717</v>
      </c>
      <c r="G181" s="8">
        <f>F181/E181</f>
        <v>2.1772400749286334</v>
      </c>
      <c r="H181" s="2" t="str" cm="1">
        <f t="array" ref="H181">_xlfn.IFS(G181&gt;=106%,"Excellent", G181&gt;=100%,"Good", G181&gt;=80%,"Average", G181&lt;80%,"Poor")</f>
        <v>Excellent</v>
      </c>
      <c r="I181" t="str" cm="1">
        <f t="array" ref="I181">_xlfn.IFS(H181="Poor","Below Target",  H181="Average","Near Target",  H181="Good","Target Achieved", H181="Excellent","Target Exceeded")</f>
        <v>Target Exceeded</v>
      </c>
    </row>
    <row r="182" spans="1:9" x14ac:dyDescent="0.3">
      <c r="A182" s="2" t="s">
        <v>202</v>
      </c>
      <c r="B182" s="2" t="s">
        <v>20</v>
      </c>
      <c r="C182" s="2" t="s">
        <v>31</v>
      </c>
      <c r="D182" s="12" t="s">
        <v>203</v>
      </c>
      <c r="E182" s="7">
        <v>1204323</v>
      </c>
      <c r="F182" s="7">
        <v>970479</v>
      </c>
      <c r="G182" s="8">
        <f>F182/E182</f>
        <v>0.80582949922902747</v>
      </c>
      <c r="H182" s="2" t="str" cm="1">
        <f t="array" ref="H182">_xlfn.IFS(G182&gt;=106%,"Excellent", G182&gt;=100%,"Good", G182&gt;=80%,"Average", G182&lt;80%,"Poor")</f>
        <v>Average</v>
      </c>
      <c r="I182" t="str" cm="1">
        <f t="array" ref="I182">_xlfn.IFS(H182="Poor","Below Target",  H182="Average","Near Target",  H182="Good","Target Achieved", H182="Excellent","Target Exceeded")</f>
        <v>Near Target</v>
      </c>
    </row>
    <row r="183" spans="1:9" x14ac:dyDescent="0.3">
      <c r="A183" s="2" t="s">
        <v>370</v>
      </c>
      <c r="B183" s="2" t="s">
        <v>27</v>
      </c>
      <c r="C183" s="2" t="s">
        <v>24</v>
      </c>
      <c r="D183" s="12" t="s">
        <v>203</v>
      </c>
      <c r="E183" s="7">
        <v>777159</v>
      </c>
      <c r="F183" s="7">
        <v>1949436</v>
      </c>
      <c r="G183" s="8">
        <f>F183/E183</f>
        <v>2.5084133362670959</v>
      </c>
      <c r="H183" s="2" t="str" cm="1">
        <f t="array" ref="H183">_xlfn.IFS(G183&gt;=106%,"Excellent", G183&gt;=100%,"Good", G183&gt;=80%,"Average", G183&lt;80%,"Poor")</f>
        <v>Excellent</v>
      </c>
      <c r="I183" t="str" cm="1">
        <f t="array" ref="I183">_xlfn.IFS(H183="Poor","Below Target",  H183="Average","Near Target",  H183="Good","Target Achieved", H183="Excellent","Target Exceeded")</f>
        <v>Target Exceeded</v>
      </c>
    </row>
    <row r="184" spans="1:9" x14ac:dyDescent="0.3">
      <c r="A184" s="2" t="s">
        <v>211</v>
      </c>
      <c r="B184" s="2" t="s">
        <v>49</v>
      </c>
      <c r="C184" s="2" t="s">
        <v>56</v>
      </c>
      <c r="D184" s="12" t="s">
        <v>212</v>
      </c>
      <c r="E184" s="7">
        <v>1378751</v>
      </c>
      <c r="F184" s="7">
        <v>1428730</v>
      </c>
      <c r="G184" s="8">
        <f>F184/E184</f>
        <v>1.0362494750683771</v>
      </c>
      <c r="H184" s="2" t="str" cm="1">
        <f t="array" ref="H184">_xlfn.IFS(G184&gt;=106%,"Excellent", G184&gt;=100%,"Good", G184&gt;=80%,"Average", G184&lt;80%,"Poor")</f>
        <v>Good</v>
      </c>
      <c r="I184" t="str" cm="1">
        <f t="array" ref="I184">_xlfn.IFS(H184="Poor","Below Target",  H184="Average","Near Target",  H184="Good","Target Achieved", H184="Excellent","Target Exceeded")</f>
        <v>Target Achieved</v>
      </c>
    </row>
    <row r="185" spans="1:9" x14ac:dyDescent="0.3">
      <c r="A185" s="2" t="s">
        <v>196</v>
      </c>
      <c r="B185" s="2" t="s">
        <v>34</v>
      </c>
      <c r="C185" s="2" t="s">
        <v>13</v>
      </c>
      <c r="D185" s="12" t="s">
        <v>197</v>
      </c>
      <c r="E185" s="7">
        <v>1558596</v>
      </c>
      <c r="F185" s="7">
        <v>1194940</v>
      </c>
      <c r="G185" s="8">
        <f>F185/E185</f>
        <v>0.76667718895724102</v>
      </c>
      <c r="H185" s="2" t="str" cm="1">
        <f t="array" ref="H185">_xlfn.IFS(G185&gt;=106%,"Excellent", G185&gt;=100%,"Good", G185&gt;=80%,"Average", G185&lt;80%,"Poor")</f>
        <v>Poor</v>
      </c>
      <c r="I185" t="str" cm="1">
        <f t="array" ref="I185">_xlfn.IFS(H185="Poor","Below Target",  H185="Average","Near Target",  H185="Good","Target Achieved", H185="Excellent","Target Exceeded")</f>
        <v>Below Target</v>
      </c>
    </row>
    <row r="186" spans="1:9" x14ac:dyDescent="0.3">
      <c r="A186" s="2" t="s">
        <v>322</v>
      </c>
      <c r="B186" s="2" t="s">
        <v>34</v>
      </c>
      <c r="C186" s="2" t="s">
        <v>56</v>
      </c>
      <c r="D186" s="12" t="s">
        <v>323</v>
      </c>
      <c r="E186" s="7">
        <v>1011140</v>
      </c>
      <c r="F186" s="7">
        <v>1257950</v>
      </c>
      <c r="G186" s="8">
        <f>F186/E186</f>
        <v>1.2440908281741401</v>
      </c>
      <c r="H186" s="2" t="str" cm="1">
        <f t="array" ref="H186">_xlfn.IFS(G186&gt;=106%,"Excellent", G186&gt;=100%,"Good", G186&gt;=80%,"Average", G186&lt;80%,"Poor")</f>
        <v>Excellent</v>
      </c>
      <c r="I186" t="str" cm="1">
        <f t="array" ref="I186">_xlfn.IFS(H186="Poor","Below Target",  H186="Average","Near Target",  H186="Good","Target Achieved", H186="Excellent","Target Exceeded")</f>
        <v>Target Exceeded</v>
      </c>
    </row>
    <row r="187" spans="1:9" x14ac:dyDescent="0.3">
      <c r="A187" s="2" t="s">
        <v>174</v>
      </c>
      <c r="B187" s="2" t="s">
        <v>37</v>
      </c>
      <c r="C187" s="2" t="s">
        <v>56</v>
      </c>
      <c r="D187" s="12" t="s">
        <v>175</v>
      </c>
      <c r="E187" s="7">
        <v>1962152</v>
      </c>
      <c r="F187" s="7">
        <v>920033</v>
      </c>
      <c r="G187" s="8">
        <f>F187/E187</f>
        <v>0.46888977000762427</v>
      </c>
      <c r="H187" s="2" t="str" cm="1">
        <f t="array" ref="H187">_xlfn.IFS(G187&gt;=106%,"Excellent", G187&gt;=100%,"Good", G187&gt;=80%,"Average", G187&lt;80%,"Poor")</f>
        <v>Poor</v>
      </c>
      <c r="I187" t="str" cm="1">
        <f t="array" ref="I187">_xlfn.IFS(H187="Poor","Below Target",  H187="Average","Near Target",  H187="Good","Target Achieved", H187="Excellent","Target Exceeded")</f>
        <v>Below Target</v>
      </c>
    </row>
    <row r="188" spans="1:9" x14ac:dyDescent="0.3">
      <c r="A188" s="2" t="s">
        <v>258</v>
      </c>
      <c r="B188" s="2" t="s">
        <v>49</v>
      </c>
      <c r="C188" s="2" t="s">
        <v>13</v>
      </c>
      <c r="D188" s="12" t="s">
        <v>175</v>
      </c>
      <c r="E188" s="7">
        <v>1273891</v>
      </c>
      <c r="F188" s="7">
        <v>1292499</v>
      </c>
      <c r="G188" s="8">
        <f>F188/E188</f>
        <v>1.0146072152170005</v>
      </c>
      <c r="H188" s="2" t="str" cm="1">
        <f t="array" ref="H188">_xlfn.IFS(G188&gt;=106%,"Excellent", G188&gt;=100%,"Good", G188&gt;=80%,"Average", G188&lt;80%,"Poor")</f>
        <v>Good</v>
      </c>
      <c r="I188" t="str" cm="1">
        <f t="array" ref="I188">_xlfn.IFS(H188="Poor","Below Target",  H188="Average","Near Target",  H188="Good","Target Achieved", H188="Excellent","Target Exceeded")</f>
        <v>Target Achieved</v>
      </c>
    </row>
    <row r="189" spans="1:9" x14ac:dyDescent="0.3">
      <c r="A189" s="2" t="s">
        <v>194</v>
      </c>
      <c r="B189" s="2" t="s">
        <v>27</v>
      </c>
      <c r="C189" s="2" t="s">
        <v>56</v>
      </c>
      <c r="D189" s="12" t="s">
        <v>195</v>
      </c>
      <c r="E189" s="7">
        <v>1900011</v>
      </c>
      <c r="F189" s="7">
        <v>1413864</v>
      </c>
      <c r="G189" s="8">
        <f>F189/E189</f>
        <v>0.74413463922050982</v>
      </c>
      <c r="H189" s="2" t="str" cm="1">
        <f t="array" ref="H189">_xlfn.IFS(G189&gt;=106%,"Excellent", G189&gt;=100%,"Good", G189&gt;=80%,"Average", G189&lt;80%,"Poor")</f>
        <v>Poor</v>
      </c>
      <c r="I189" t="str" cm="1">
        <f t="array" ref="I189">_xlfn.IFS(H189="Poor","Below Target",  H189="Average","Near Target",  H189="Good","Target Achieved", H189="Excellent","Target Exceeded")</f>
        <v>Below Target</v>
      </c>
    </row>
    <row r="190" spans="1:9" x14ac:dyDescent="0.3">
      <c r="A190" s="2" t="s">
        <v>422</v>
      </c>
      <c r="B190" s="2" t="s">
        <v>27</v>
      </c>
      <c r="C190" s="2" t="s">
        <v>13</v>
      </c>
      <c r="D190" s="12" t="s">
        <v>423</v>
      </c>
      <c r="E190" s="7">
        <v>625789</v>
      </c>
      <c r="F190" s="7">
        <v>1529906</v>
      </c>
      <c r="G190" s="8">
        <f>F190/E190</f>
        <v>2.4447633307712344</v>
      </c>
      <c r="H190" s="2" t="str" cm="1">
        <f t="array" ref="H190">_xlfn.IFS(G190&gt;=106%,"Excellent", G190&gt;=100%,"Good", G190&gt;=80%,"Average", G190&lt;80%,"Poor")</f>
        <v>Excellent</v>
      </c>
      <c r="I190" t="str" cm="1">
        <f t="array" ref="I190">_xlfn.IFS(H190="Poor","Below Target",  H190="Average","Near Target",  H190="Good","Target Achieved", H190="Excellent","Target Exceeded")</f>
        <v>Target Exceeded</v>
      </c>
    </row>
    <row r="191" spans="1:9" x14ac:dyDescent="0.3">
      <c r="A191" s="2" t="s">
        <v>275</v>
      </c>
      <c r="B191" s="2" t="s">
        <v>17</v>
      </c>
      <c r="C191" s="2" t="s">
        <v>24</v>
      </c>
      <c r="D191" s="12" t="s">
        <v>276</v>
      </c>
      <c r="E191" s="7">
        <v>812890</v>
      </c>
      <c r="F191" s="7">
        <v>2001088</v>
      </c>
      <c r="G191" s="8">
        <f>F191/E191</f>
        <v>2.461695924417818</v>
      </c>
      <c r="H191" s="2" t="str" cm="1">
        <f t="array" ref="H191">_xlfn.IFS(G191&gt;=106%,"Excellent", G191&gt;=100%,"Good", G191&gt;=80%,"Average", G191&lt;80%,"Poor")</f>
        <v>Excellent</v>
      </c>
      <c r="I191" t="str" cm="1">
        <f t="array" ref="I191">_xlfn.IFS(H191="Poor","Below Target",  H191="Average","Near Target",  H191="Good","Target Achieved", H191="Excellent","Target Exceeded")</f>
        <v>Target Exceeded</v>
      </c>
    </row>
    <row r="192" spans="1:9" x14ac:dyDescent="0.3">
      <c r="A192" s="2" t="s">
        <v>351</v>
      </c>
      <c r="B192" s="2" t="s">
        <v>27</v>
      </c>
      <c r="C192" s="2" t="s">
        <v>24</v>
      </c>
      <c r="D192" s="12" t="s">
        <v>352</v>
      </c>
      <c r="E192" s="7">
        <v>1613936</v>
      </c>
      <c r="F192" s="7">
        <v>1164135</v>
      </c>
      <c r="G192" s="8">
        <f>F192/E192</f>
        <v>0.72130183600836717</v>
      </c>
      <c r="H192" s="2" t="str" cm="1">
        <f t="array" ref="H192">_xlfn.IFS(G192&gt;=106%,"Excellent", G192&gt;=100%,"Good", G192&gt;=80%,"Average", G192&lt;80%,"Poor")</f>
        <v>Poor</v>
      </c>
      <c r="I192" t="str" cm="1">
        <f t="array" ref="I192">_xlfn.IFS(H192="Poor","Below Target",  H192="Average","Near Target",  H192="Good","Target Achieved", H192="Excellent","Target Exceeded")</f>
        <v>Below Target</v>
      </c>
    </row>
    <row r="193" spans="1:9" x14ac:dyDescent="0.3">
      <c r="A193" s="2" t="s">
        <v>395</v>
      </c>
      <c r="B193" s="2" t="s">
        <v>17</v>
      </c>
      <c r="C193" s="2" t="s">
        <v>31</v>
      </c>
      <c r="D193" s="12" t="s">
        <v>352</v>
      </c>
      <c r="E193" s="7">
        <v>1010800</v>
      </c>
      <c r="F193" s="7">
        <v>564081</v>
      </c>
      <c r="G193" s="8">
        <f>F193/E193</f>
        <v>0.55805401662049858</v>
      </c>
      <c r="H193" s="2" t="str" cm="1">
        <f t="array" ref="H193">_xlfn.IFS(G193&gt;=106%,"Excellent", G193&gt;=100%,"Good", G193&gt;=80%,"Average", G193&lt;80%,"Poor")</f>
        <v>Poor</v>
      </c>
      <c r="I193" t="str" cm="1">
        <f t="array" ref="I193">_xlfn.IFS(H193="Poor","Below Target",  H193="Average","Near Target",  H193="Good","Target Achieved", H193="Excellent","Target Exceeded")</f>
        <v>Below Target</v>
      </c>
    </row>
    <row r="194" spans="1:9" x14ac:dyDescent="0.3">
      <c r="A194" s="2" t="s">
        <v>121</v>
      </c>
      <c r="B194" s="2" t="s">
        <v>8</v>
      </c>
      <c r="C194" s="2" t="s">
        <v>24</v>
      </c>
      <c r="D194" s="12" t="s">
        <v>122</v>
      </c>
      <c r="E194" s="7">
        <v>1346778</v>
      </c>
      <c r="F194" s="7">
        <v>551420</v>
      </c>
      <c r="G194" s="8">
        <f>F194/E194</f>
        <v>0.40943644758081882</v>
      </c>
      <c r="H194" s="2" t="str" cm="1">
        <f t="array" ref="H194">_xlfn.IFS(G194&gt;=106%,"Excellent", G194&gt;=100%,"Good", G194&gt;=80%,"Average", G194&lt;80%,"Poor")</f>
        <v>Poor</v>
      </c>
      <c r="I194" t="str" cm="1">
        <f t="array" ref="I194">_xlfn.IFS(H194="Poor","Below Target",  H194="Average","Near Target",  H194="Good","Target Achieved", H194="Excellent","Target Exceeded")</f>
        <v>Below Target</v>
      </c>
    </row>
    <row r="195" spans="1:9" x14ac:dyDescent="0.3">
      <c r="A195" s="2" t="s">
        <v>179</v>
      </c>
      <c r="B195" s="2" t="s">
        <v>49</v>
      </c>
      <c r="C195" s="2" t="s">
        <v>24</v>
      </c>
      <c r="D195" s="12" t="s">
        <v>180</v>
      </c>
      <c r="E195" s="7">
        <v>1401540</v>
      </c>
      <c r="F195" s="7">
        <v>1947855</v>
      </c>
      <c r="G195" s="8">
        <f>F195/E195</f>
        <v>1.3897962241534312</v>
      </c>
      <c r="H195" s="2" t="str" cm="1">
        <f t="array" ref="H195">_xlfn.IFS(G195&gt;=106%,"Excellent", G195&gt;=100%,"Good", G195&gt;=80%,"Average", G195&lt;80%,"Poor")</f>
        <v>Excellent</v>
      </c>
      <c r="I195" t="str" cm="1">
        <f t="array" ref="I195">_xlfn.IFS(H195="Poor","Below Target",  H195="Average","Near Target",  H195="Good","Target Achieved", H195="Excellent","Target Exceeded")</f>
        <v>Target Exceeded</v>
      </c>
    </row>
    <row r="196" spans="1:9" x14ac:dyDescent="0.3">
      <c r="A196" s="2" t="s">
        <v>163</v>
      </c>
      <c r="B196" s="2" t="s">
        <v>17</v>
      </c>
      <c r="C196" s="2" t="s">
        <v>9</v>
      </c>
      <c r="D196" s="12" t="s">
        <v>164</v>
      </c>
      <c r="E196" s="7">
        <v>1047807</v>
      </c>
      <c r="F196" s="7">
        <v>674483</v>
      </c>
      <c r="G196" s="8">
        <f>F196/E196</f>
        <v>0.6437091945367801</v>
      </c>
      <c r="H196" s="2" t="str" cm="1">
        <f t="array" ref="H196">_xlfn.IFS(G196&gt;=106%,"Excellent", G196&gt;=100%,"Good", G196&gt;=80%,"Average", G196&lt;80%,"Poor")</f>
        <v>Poor</v>
      </c>
      <c r="I196" t="str" cm="1">
        <f t="array" ref="I196">_xlfn.IFS(H196="Poor","Below Target",  H196="Average","Near Target",  H196="Good","Target Achieved", H196="Excellent","Target Exceeded")</f>
        <v>Below Target</v>
      </c>
    </row>
    <row r="197" spans="1:9" x14ac:dyDescent="0.3">
      <c r="A197" s="2" t="s">
        <v>58</v>
      </c>
      <c r="B197" s="2" t="s">
        <v>49</v>
      </c>
      <c r="C197" s="2" t="s">
        <v>13</v>
      </c>
      <c r="D197" s="12" t="s">
        <v>59</v>
      </c>
      <c r="E197" s="7">
        <v>1398490</v>
      </c>
      <c r="F197" s="7">
        <v>2182871</v>
      </c>
      <c r="G197" s="8">
        <f>F197/E197</f>
        <v>1.5608770888601278</v>
      </c>
      <c r="H197" s="2" t="str" cm="1">
        <f t="array" ref="H197">_xlfn.IFS(G197&gt;=106%,"Excellent", G197&gt;=100%,"Good", G197&gt;=80%,"Average", G197&lt;80%,"Poor")</f>
        <v>Excellent</v>
      </c>
      <c r="I197" t="str" cm="1">
        <f t="array" ref="I197">_xlfn.IFS(H197="Poor","Below Target",  H197="Average","Near Target",  H197="Good","Target Achieved", H197="Excellent","Target Exceeded")</f>
        <v>Target Exceeded</v>
      </c>
    </row>
    <row r="198" spans="1:9" x14ac:dyDescent="0.3">
      <c r="A198" s="2" t="s">
        <v>327</v>
      </c>
      <c r="B198" s="2" t="s">
        <v>17</v>
      </c>
      <c r="C198" s="2" t="s">
        <v>31</v>
      </c>
      <c r="D198" s="12" t="s">
        <v>328</v>
      </c>
      <c r="E198" s="7">
        <v>1126116</v>
      </c>
      <c r="F198" s="7">
        <v>2056314</v>
      </c>
      <c r="G198" s="8">
        <f>F198/E198</f>
        <v>1.8260232516010784</v>
      </c>
      <c r="H198" s="2" t="str" cm="1">
        <f t="array" ref="H198">_xlfn.IFS(G198&gt;=106%,"Excellent", G198&gt;=100%,"Good", G198&gt;=80%,"Average", G198&lt;80%,"Poor")</f>
        <v>Excellent</v>
      </c>
      <c r="I198" t="str" cm="1">
        <f t="array" ref="I198">_xlfn.IFS(H198="Poor","Below Target",  H198="Average","Near Target",  H198="Good","Target Achieved", H198="Excellent","Target Exceeded")</f>
        <v>Target Exceeded</v>
      </c>
    </row>
    <row r="199" spans="1:9" x14ac:dyDescent="0.3">
      <c r="A199" s="2" t="s">
        <v>357</v>
      </c>
      <c r="B199" s="2" t="s">
        <v>27</v>
      </c>
      <c r="C199" s="2" t="s">
        <v>9</v>
      </c>
      <c r="D199" s="12" t="s">
        <v>328</v>
      </c>
      <c r="E199" s="7">
        <v>1426374</v>
      </c>
      <c r="F199" s="7">
        <v>1024703</v>
      </c>
      <c r="G199" s="8">
        <f>F199/E199</f>
        <v>0.71839713847840747</v>
      </c>
      <c r="H199" s="2" t="str" cm="1">
        <f t="array" ref="H199">_xlfn.IFS(G199&gt;=106%,"Excellent", G199&gt;=100%,"Good", G199&gt;=80%,"Average", G199&lt;80%,"Poor")</f>
        <v>Poor</v>
      </c>
      <c r="I199" t="str" cm="1">
        <f t="array" ref="I199">_xlfn.IFS(H199="Poor","Below Target",  H199="Average","Near Target",  H199="Good","Target Achieved", H199="Excellent","Target Exceeded")</f>
        <v>Below Target</v>
      </c>
    </row>
    <row r="200" spans="1:9" x14ac:dyDescent="0.3">
      <c r="A200" s="2" t="s">
        <v>263</v>
      </c>
      <c r="B200" s="2" t="s">
        <v>20</v>
      </c>
      <c r="C200" s="2" t="s">
        <v>24</v>
      </c>
      <c r="D200" s="12" t="s">
        <v>264</v>
      </c>
      <c r="E200" s="7">
        <v>1515438</v>
      </c>
      <c r="F200" s="7">
        <v>879861</v>
      </c>
      <c r="G200" s="8">
        <f>F200/E200</f>
        <v>0.5805984804393185</v>
      </c>
      <c r="H200" s="2" t="str" cm="1">
        <f t="array" ref="H200">_xlfn.IFS(G200&gt;=106%,"Excellent", G200&gt;=100%,"Good", G200&gt;=80%,"Average", G200&lt;80%,"Poor")</f>
        <v>Poor</v>
      </c>
      <c r="I200" t="str" cm="1">
        <f t="array" ref="I200">_xlfn.IFS(H200="Poor","Below Target",  H200="Average","Near Target",  H200="Good","Target Achieved", H200="Excellent","Target Exceeded")</f>
        <v>Below Target</v>
      </c>
    </row>
    <row r="201" spans="1:9" x14ac:dyDescent="0.3">
      <c r="A201" s="2" t="s">
        <v>279</v>
      </c>
      <c r="B201" s="2" t="s">
        <v>42</v>
      </c>
      <c r="C201" s="2" t="s">
        <v>56</v>
      </c>
      <c r="D201" s="12" t="s">
        <v>264</v>
      </c>
      <c r="E201" s="7">
        <v>1428453</v>
      </c>
      <c r="F201" s="7">
        <v>923594</v>
      </c>
      <c r="G201" s="8">
        <f>F201/E201</f>
        <v>0.64656940060331003</v>
      </c>
      <c r="H201" s="2" t="str" cm="1">
        <f t="array" ref="H201">_xlfn.IFS(G201&gt;=106%,"Excellent", G201&gt;=100%,"Good", G201&gt;=80%,"Average", G201&lt;80%,"Poor")</f>
        <v>Poor</v>
      </c>
      <c r="I201" t="str" cm="1">
        <f t="array" ref="I201">_xlfn.IFS(H201="Poor","Below Target",  H201="Average","Near Target",  H201="Good","Target Achieved", H201="Excellent","Target Exceeded")</f>
        <v>Below Target</v>
      </c>
    </row>
    <row r="202" spans="1:9" x14ac:dyDescent="0.3">
      <c r="A202" s="2" t="s">
        <v>335</v>
      </c>
      <c r="B202" s="2" t="s">
        <v>34</v>
      </c>
      <c r="C202" s="2" t="s">
        <v>9</v>
      </c>
      <c r="D202" s="12" t="s">
        <v>336</v>
      </c>
      <c r="E202" s="7">
        <v>764757</v>
      </c>
      <c r="F202" s="7">
        <v>1353380</v>
      </c>
      <c r="G202" s="8">
        <f>F202/E202</f>
        <v>1.7696863186606988</v>
      </c>
      <c r="H202" s="2" t="str" cm="1">
        <f t="array" ref="H202">_xlfn.IFS(G202&gt;=106%,"Excellent", G202&gt;=100%,"Good", G202&gt;=80%,"Average", G202&lt;80%,"Poor")</f>
        <v>Excellent</v>
      </c>
      <c r="I202" t="str" cm="1">
        <f t="array" ref="I202">_xlfn.IFS(H202="Poor","Below Target",  H202="Average","Near Target",  H202="Good","Target Achieved", H202="Excellent","Target Exceeded")</f>
        <v>Target Exceeded</v>
      </c>
    </row>
    <row r="203" spans="1:9" x14ac:dyDescent="0.3">
      <c r="A203" s="2" t="s">
        <v>74</v>
      </c>
      <c r="B203" s="2" t="s">
        <v>27</v>
      </c>
      <c r="C203" s="2" t="s">
        <v>13</v>
      </c>
      <c r="D203" s="12" t="s">
        <v>75</v>
      </c>
      <c r="E203" s="7">
        <v>1612232</v>
      </c>
      <c r="F203" s="7">
        <v>301199</v>
      </c>
      <c r="G203" s="8">
        <f>F203/E203</f>
        <v>0.18682112748041224</v>
      </c>
      <c r="H203" s="2" t="str" cm="1">
        <f t="array" ref="H203">_xlfn.IFS(G203&gt;=106%,"Excellent", G203&gt;=100%,"Good", G203&gt;=80%,"Average", G203&lt;80%,"Poor")</f>
        <v>Poor</v>
      </c>
      <c r="I203" t="str" cm="1">
        <f t="array" ref="I203">_xlfn.IFS(H203="Poor","Below Target",  H203="Average","Near Target",  H203="Good","Target Achieved", H203="Excellent","Target Exceeded")</f>
        <v>Below Target</v>
      </c>
    </row>
    <row r="204" spans="1:9" x14ac:dyDescent="0.3">
      <c r="A204" s="2" t="s">
        <v>444</v>
      </c>
      <c r="B204" s="2" t="s">
        <v>49</v>
      </c>
      <c r="C204" s="2" t="s">
        <v>9</v>
      </c>
      <c r="D204" s="12" t="s">
        <v>75</v>
      </c>
      <c r="E204" s="7">
        <v>962460</v>
      </c>
      <c r="F204" s="7">
        <v>1128927</v>
      </c>
      <c r="G204" s="8">
        <f>F204/E204</f>
        <v>1.1729599152172558</v>
      </c>
      <c r="H204" s="2" t="str" cm="1">
        <f t="array" ref="H204">_xlfn.IFS(G204&gt;=106%,"Excellent", G204&gt;=100%,"Good", G204&gt;=80%,"Average", G204&lt;80%,"Poor")</f>
        <v>Excellent</v>
      </c>
      <c r="I204" t="str" cm="1">
        <f t="array" ref="I204">_xlfn.IFS(H204="Poor","Below Target",  H204="Average","Near Target",  H204="Good","Target Achieved", H204="Excellent","Target Exceeded")</f>
        <v>Target Exceeded</v>
      </c>
    </row>
    <row r="205" spans="1:9" x14ac:dyDescent="0.3">
      <c r="A205" s="2" t="s">
        <v>82</v>
      </c>
      <c r="B205" s="2" t="s">
        <v>27</v>
      </c>
      <c r="C205" s="2" t="s">
        <v>31</v>
      </c>
      <c r="D205" s="12" t="s">
        <v>83</v>
      </c>
      <c r="E205" s="7">
        <v>1606612</v>
      </c>
      <c r="F205" s="7">
        <v>2129624</v>
      </c>
      <c r="G205" s="8">
        <f>F205/E205</f>
        <v>1.3255372174488924</v>
      </c>
      <c r="H205" s="2" t="str" cm="1">
        <f t="array" ref="H205">_xlfn.IFS(G205&gt;=106%,"Excellent", G205&gt;=100%,"Good", G205&gt;=80%,"Average", G205&lt;80%,"Poor")</f>
        <v>Excellent</v>
      </c>
      <c r="I205" t="str" cm="1">
        <f t="array" ref="I205">_xlfn.IFS(H205="Poor","Below Target",  H205="Average","Near Target",  H205="Good","Target Achieved", H205="Excellent","Target Exceeded")</f>
        <v>Target Exceeded</v>
      </c>
    </row>
    <row r="206" spans="1:9" x14ac:dyDescent="0.3">
      <c r="A206" s="2" t="s">
        <v>233</v>
      </c>
      <c r="B206" s="2" t="s">
        <v>34</v>
      </c>
      <c r="C206" s="2" t="s">
        <v>31</v>
      </c>
      <c r="D206" s="12" t="s">
        <v>83</v>
      </c>
      <c r="E206" s="7">
        <v>1273629</v>
      </c>
      <c r="F206" s="7">
        <v>651879</v>
      </c>
      <c r="G206" s="8">
        <f>F206/E206</f>
        <v>0.51182801271013767</v>
      </c>
      <c r="H206" s="2" t="str" cm="1">
        <f t="array" ref="H206">_xlfn.IFS(G206&gt;=106%,"Excellent", G206&gt;=100%,"Good", G206&gt;=80%,"Average", G206&lt;80%,"Poor")</f>
        <v>Poor</v>
      </c>
      <c r="I206" t="str" cm="1">
        <f t="array" ref="I206">_xlfn.IFS(H206="Poor","Below Target",  H206="Average","Near Target",  H206="Good","Target Achieved", H206="Excellent","Target Exceeded")</f>
        <v>Below Target</v>
      </c>
    </row>
    <row r="207" spans="1:9" x14ac:dyDescent="0.3">
      <c r="A207" s="2" t="s">
        <v>280</v>
      </c>
      <c r="B207" s="2" t="s">
        <v>49</v>
      </c>
      <c r="C207" s="2" t="s">
        <v>13</v>
      </c>
      <c r="D207" s="12" t="s">
        <v>281</v>
      </c>
      <c r="E207" s="7">
        <v>1802388</v>
      </c>
      <c r="F207" s="7">
        <v>426312</v>
      </c>
      <c r="G207" s="8">
        <f>F207/E207</f>
        <v>0.236526208563306</v>
      </c>
      <c r="H207" s="2" t="str" cm="1">
        <f t="array" ref="H207">_xlfn.IFS(G207&gt;=106%,"Excellent", G207&gt;=100%,"Good", G207&gt;=80%,"Average", G207&lt;80%,"Poor")</f>
        <v>Poor</v>
      </c>
      <c r="I207" t="str" cm="1">
        <f t="array" ref="I207">_xlfn.IFS(H207="Poor","Below Target",  H207="Average","Near Target",  H207="Good","Target Achieved", H207="Excellent","Target Exceeded")</f>
        <v>Below Target</v>
      </c>
    </row>
    <row r="208" spans="1:9" x14ac:dyDescent="0.3">
      <c r="A208" s="2" t="s">
        <v>379</v>
      </c>
      <c r="B208" s="2" t="s">
        <v>17</v>
      </c>
      <c r="C208" s="2" t="s">
        <v>13</v>
      </c>
      <c r="D208" s="12" t="s">
        <v>281</v>
      </c>
      <c r="E208" s="7">
        <v>1677356</v>
      </c>
      <c r="F208" s="7">
        <v>987879</v>
      </c>
      <c r="G208" s="8">
        <f>F208/E208</f>
        <v>0.58895010957721561</v>
      </c>
      <c r="H208" s="2" t="str" cm="1">
        <f t="array" ref="H208">_xlfn.IFS(G208&gt;=106%,"Excellent", G208&gt;=100%,"Good", G208&gt;=80%,"Average", G208&lt;80%,"Poor")</f>
        <v>Poor</v>
      </c>
      <c r="I208" t="str" cm="1">
        <f t="array" ref="I208">_xlfn.IFS(H208="Poor","Below Target",  H208="Average","Near Target",  H208="Good","Target Achieved", H208="Excellent","Target Exceeded")</f>
        <v>Below Target</v>
      </c>
    </row>
    <row r="209" spans="1:9" x14ac:dyDescent="0.3">
      <c r="A209" s="2" t="s">
        <v>134</v>
      </c>
      <c r="B209" s="2" t="s">
        <v>34</v>
      </c>
      <c r="C209" s="2" t="s">
        <v>13</v>
      </c>
      <c r="D209" s="12" t="s">
        <v>135</v>
      </c>
      <c r="E209" s="7">
        <v>1975430</v>
      </c>
      <c r="F209" s="7">
        <v>934424</v>
      </c>
      <c r="G209" s="8">
        <f>F209/E209</f>
        <v>0.47302308864399145</v>
      </c>
      <c r="H209" s="2" t="str" cm="1">
        <f t="array" ref="H209">_xlfn.IFS(G209&gt;=106%,"Excellent", G209&gt;=100%,"Good", G209&gt;=80%,"Average", G209&lt;80%,"Poor")</f>
        <v>Poor</v>
      </c>
      <c r="I209" t="str" cm="1">
        <f t="array" ref="I209">_xlfn.IFS(H209="Poor","Below Target",  H209="Average","Near Target",  H209="Good","Target Achieved", H209="Excellent","Target Exceeded")</f>
        <v>Below Target</v>
      </c>
    </row>
    <row r="210" spans="1:9" x14ac:dyDescent="0.3">
      <c r="A210" s="2" t="s">
        <v>289</v>
      </c>
      <c r="B210" s="2" t="s">
        <v>8</v>
      </c>
      <c r="C210" s="2" t="s">
        <v>24</v>
      </c>
      <c r="D210" s="12" t="s">
        <v>290</v>
      </c>
      <c r="E210" s="7">
        <v>1054811</v>
      </c>
      <c r="F210" s="7">
        <v>1952195</v>
      </c>
      <c r="G210" s="8">
        <f>F210/E210</f>
        <v>1.8507533577105282</v>
      </c>
      <c r="H210" s="2" t="str" cm="1">
        <f t="array" ref="H210">_xlfn.IFS(G210&gt;=106%,"Excellent", G210&gt;=100%,"Good", G210&gt;=80%,"Average", G210&lt;80%,"Poor")</f>
        <v>Excellent</v>
      </c>
      <c r="I210" t="str" cm="1">
        <f t="array" ref="I210">_xlfn.IFS(H210="Poor","Below Target",  H210="Average","Near Target",  H210="Good","Target Achieved", H210="Excellent","Target Exceeded")</f>
        <v>Target Exceeded</v>
      </c>
    </row>
    <row r="211" spans="1:9" x14ac:dyDescent="0.3">
      <c r="A211" s="2" t="s">
        <v>342</v>
      </c>
      <c r="B211" s="2" t="s">
        <v>37</v>
      </c>
      <c r="C211" s="2" t="s">
        <v>13</v>
      </c>
      <c r="D211" s="12" t="s">
        <v>290</v>
      </c>
      <c r="E211" s="7">
        <v>1296937</v>
      </c>
      <c r="F211" s="7">
        <v>964086</v>
      </c>
      <c r="G211" s="8">
        <f>F211/E211</f>
        <v>0.7433560766637084</v>
      </c>
      <c r="H211" s="2" t="str" cm="1">
        <f t="array" ref="H211">_xlfn.IFS(G211&gt;=106%,"Excellent", G211&gt;=100%,"Good", G211&gt;=80%,"Average", G211&lt;80%,"Poor")</f>
        <v>Poor</v>
      </c>
      <c r="I211" t="str" cm="1">
        <f t="array" ref="I211">_xlfn.IFS(H211="Poor","Below Target",  H211="Average","Near Target",  H211="Good","Target Achieved", H211="Excellent","Target Exceeded")</f>
        <v>Below Target</v>
      </c>
    </row>
    <row r="212" spans="1:9" x14ac:dyDescent="0.3">
      <c r="A212" s="2" t="s">
        <v>343</v>
      </c>
      <c r="B212" s="2" t="s">
        <v>17</v>
      </c>
      <c r="C212" s="2" t="s">
        <v>13</v>
      </c>
      <c r="D212" s="12" t="s">
        <v>344</v>
      </c>
      <c r="E212" s="7">
        <v>643488</v>
      </c>
      <c r="F212" s="7">
        <v>792348</v>
      </c>
      <c r="G212" s="8">
        <f>F212/E212</f>
        <v>1.2313329852304937</v>
      </c>
      <c r="H212" s="2" t="str" cm="1">
        <f t="array" ref="H212">_xlfn.IFS(G212&gt;=106%,"Excellent", G212&gt;=100%,"Good", G212&gt;=80%,"Average", G212&lt;80%,"Poor")</f>
        <v>Excellent</v>
      </c>
      <c r="I212" t="str" cm="1">
        <f t="array" ref="I212">_xlfn.IFS(H212="Poor","Below Target",  H212="Average","Near Target",  H212="Good","Target Achieved", H212="Excellent","Target Exceeded")</f>
        <v>Target Exceeded</v>
      </c>
    </row>
    <row r="213" spans="1:9" x14ac:dyDescent="0.3">
      <c r="A213" s="2" t="s">
        <v>345</v>
      </c>
      <c r="B213" s="2" t="s">
        <v>20</v>
      </c>
      <c r="C213" s="2" t="s">
        <v>9</v>
      </c>
      <c r="D213" s="12" t="s">
        <v>346</v>
      </c>
      <c r="E213" s="7">
        <v>1410104</v>
      </c>
      <c r="F213" s="7">
        <v>506450</v>
      </c>
      <c r="G213" s="8">
        <f>F213/E213</f>
        <v>0.35915790608352294</v>
      </c>
      <c r="H213" s="2" t="str" cm="1">
        <f t="array" ref="H213">_xlfn.IFS(G213&gt;=106%,"Excellent", G213&gt;=100%,"Good", G213&gt;=80%,"Average", G213&lt;80%,"Poor")</f>
        <v>Poor</v>
      </c>
      <c r="I213" t="str" cm="1">
        <f t="array" ref="I213">_xlfn.IFS(H213="Poor","Below Target",  H213="Average","Near Target",  H213="Good","Target Achieved", H213="Excellent","Target Exceeded")</f>
        <v>Below Target</v>
      </c>
    </row>
    <row r="214" spans="1:9" x14ac:dyDescent="0.3">
      <c r="A214" s="2" t="s">
        <v>393</v>
      </c>
      <c r="B214" s="2" t="s">
        <v>34</v>
      </c>
      <c r="C214" s="2" t="s">
        <v>9</v>
      </c>
      <c r="D214" s="12" t="s">
        <v>394</v>
      </c>
      <c r="E214" s="7">
        <v>1889926</v>
      </c>
      <c r="F214" s="7">
        <v>744818</v>
      </c>
      <c r="G214" s="8">
        <f>F214/E214</f>
        <v>0.39409902821591958</v>
      </c>
      <c r="H214" s="2" t="str" cm="1">
        <f t="array" ref="H214">_xlfn.IFS(G214&gt;=106%,"Excellent", G214&gt;=100%,"Good", G214&gt;=80%,"Average", G214&lt;80%,"Poor")</f>
        <v>Poor</v>
      </c>
      <c r="I214" t="str" cm="1">
        <f t="array" ref="I214">_xlfn.IFS(H214="Poor","Below Target",  H214="Average","Near Target",  H214="Good","Target Achieved", H214="Excellent","Target Exceeded")</f>
        <v>Below Target</v>
      </c>
    </row>
    <row r="215" spans="1:9" x14ac:dyDescent="0.3">
      <c r="A215" s="2" t="s">
        <v>127</v>
      </c>
      <c r="B215" s="2" t="s">
        <v>49</v>
      </c>
      <c r="C215" s="2" t="s">
        <v>56</v>
      </c>
      <c r="D215" s="12" t="s">
        <v>128</v>
      </c>
      <c r="E215" s="7">
        <v>774471</v>
      </c>
      <c r="F215" s="7">
        <v>1708636</v>
      </c>
      <c r="G215" s="8">
        <f>F215/E215</f>
        <v>2.2061975206302109</v>
      </c>
      <c r="H215" s="2" t="str" cm="1">
        <f t="array" ref="H215">_xlfn.IFS(G215&gt;=106%,"Excellent", G215&gt;=100%,"Good", G215&gt;=80%,"Average", G215&lt;80%,"Poor")</f>
        <v>Excellent</v>
      </c>
      <c r="I215" t="str" cm="1">
        <f t="array" ref="I215">_xlfn.IFS(H215="Poor","Below Target",  H215="Average","Near Target",  H215="Good","Target Achieved", H215="Excellent","Target Exceeded")</f>
        <v>Target Exceeded</v>
      </c>
    </row>
    <row r="216" spans="1:9" x14ac:dyDescent="0.3">
      <c r="A216" s="2" t="s">
        <v>291</v>
      </c>
      <c r="B216" s="2" t="s">
        <v>42</v>
      </c>
      <c r="C216" s="2" t="s">
        <v>9</v>
      </c>
      <c r="D216" s="12" t="s">
        <v>292</v>
      </c>
      <c r="E216" s="7">
        <v>1642030</v>
      </c>
      <c r="F216" s="7">
        <v>771459</v>
      </c>
      <c r="G216" s="8">
        <f>F216/E216</f>
        <v>0.4698202834296572</v>
      </c>
      <c r="H216" s="2" t="str" cm="1">
        <f t="array" ref="H216">_xlfn.IFS(G216&gt;=106%,"Excellent", G216&gt;=100%,"Good", G216&gt;=80%,"Average", G216&lt;80%,"Poor")</f>
        <v>Poor</v>
      </c>
      <c r="I216" t="str" cm="1">
        <f t="array" ref="I216">_xlfn.IFS(H216="Poor","Below Target",  H216="Average","Near Target",  H216="Good","Target Achieved", H216="Excellent","Target Exceeded")</f>
        <v>Below Target</v>
      </c>
    </row>
    <row r="217" spans="1:9" x14ac:dyDescent="0.3">
      <c r="A217" s="2" t="s">
        <v>380</v>
      </c>
      <c r="B217" s="2" t="s">
        <v>8</v>
      </c>
      <c r="C217" s="2" t="s">
        <v>56</v>
      </c>
      <c r="D217" s="12" t="s">
        <v>381</v>
      </c>
      <c r="E217" s="7">
        <v>1970265</v>
      </c>
      <c r="F217" s="7">
        <v>933738</v>
      </c>
      <c r="G217" s="8">
        <f>F217/E217</f>
        <v>0.47391493022512199</v>
      </c>
      <c r="H217" s="2" t="str" cm="1">
        <f t="array" ref="H217">_xlfn.IFS(G217&gt;=106%,"Excellent", G217&gt;=100%,"Good", G217&gt;=80%,"Average", G217&lt;80%,"Poor")</f>
        <v>Poor</v>
      </c>
      <c r="I217" t="str" cm="1">
        <f t="array" ref="I217">_xlfn.IFS(H217="Poor","Below Target",  H217="Average","Near Target",  H217="Good","Target Achieved", H217="Excellent","Target Exceeded")</f>
        <v>Below Target</v>
      </c>
    </row>
    <row r="218" spans="1:9" x14ac:dyDescent="0.3">
      <c r="A218" s="2" t="s">
        <v>227</v>
      </c>
      <c r="B218" s="2" t="s">
        <v>37</v>
      </c>
      <c r="C218" s="2" t="s">
        <v>24</v>
      </c>
      <c r="D218" s="12" t="s">
        <v>228</v>
      </c>
      <c r="E218" s="7">
        <v>1863450</v>
      </c>
      <c r="F218" s="7">
        <v>443903</v>
      </c>
      <c r="G218" s="8">
        <f>F218/E218</f>
        <v>0.23821567522605919</v>
      </c>
      <c r="H218" s="2" t="str" cm="1">
        <f t="array" ref="H218">_xlfn.IFS(G218&gt;=106%,"Excellent", G218&gt;=100%,"Good", G218&gt;=80%,"Average", G218&lt;80%,"Poor")</f>
        <v>Poor</v>
      </c>
      <c r="I218" t="str" cm="1">
        <f t="array" ref="I218">_xlfn.IFS(H218="Poor","Below Target",  H218="Average","Near Target",  H218="Good","Target Achieved", H218="Excellent","Target Exceeded")</f>
        <v>Below Target</v>
      </c>
    </row>
    <row r="219" spans="1:9" x14ac:dyDescent="0.3">
      <c r="A219" s="2" t="s">
        <v>334</v>
      </c>
      <c r="B219" s="2" t="s">
        <v>42</v>
      </c>
      <c r="C219" s="2" t="s">
        <v>56</v>
      </c>
      <c r="D219" s="12" t="s">
        <v>228</v>
      </c>
      <c r="E219" s="7">
        <v>1891856</v>
      </c>
      <c r="F219" s="7">
        <v>1961769</v>
      </c>
      <c r="G219" s="8">
        <f>F219/E219</f>
        <v>1.0369547153694574</v>
      </c>
      <c r="H219" s="2" t="str" cm="1">
        <f t="array" ref="H219">_xlfn.IFS(G219&gt;=106%,"Excellent", G219&gt;=100%,"Good", G219&gt;=80%,"Average", G219&lt;80%,"Poor")</f>
        <v>Good</v>
      </c>
      <c r="I219" t="str" cm="1">
        <f t="array" ref="I219">_xlfn.IFS(H219="Poor","Below Target",  H219="Average","Near Target",  H219="Good","Target Achieved", H219="Excellent","Target Exceeded")</f>
        <v>Target Achieved</v>
      </c>
    </row>
    <row r="220" spans="1:9" x14ac:dyDescent="0.3">
      <c r="A220" s="2" t="s">
        <v>100</v>
      </c>
      <c r="B220" s="2" t="s">
        <v>42</v>
      </c>
      <c r="C220" s="2" t="s">
        <v>56</v>
      </c>
      <c r="D220" s="12" t="s">
        <v>101</v>
      </c>
      <c r="E220" s="7">
        <v>613605</v>
      </c>
      <c r="F220" s="7">
        <v>1712147</v>
      </c>
      <c r="G220" s="8">
        <f>F220/E220</f>
        <v>2.7903080972286731</v>
      </c>
      <c r="H220" s="2" t="str" cm="1">
        <f t="array" ref="H220">_xlfn.IFS(G220&gt;=106%,"Excellent", G220&gt;=100%,"Good", G220&gt;=80%,"Average", G220&lt;80%,"Poor")</f>
        <v>Excellent</v>
      </c>
      <c r="I220" t="str" cm="1">
        <f t="array" ref="I220">_xlfn.IFS(H220="Poor","Below Target",  H220="Average","Near Target",  H220="Good","Target Achieved", H220="Excellent","Target Exceeded")</f>
        <v>Target Exceeded</v>
      </c>
    </row>
    <row r="221" spans="1:9" x14ac:dyDescent="0.3">
      <c r="A221" s="2" t="s">
        <v>53</v>
      </c>
      <c r="B221" s="2" t="s">
        <v>20</v>
      </c>
      <c r="C221" s="2" t="s">
        <v>13</v>
      </c>
      <c r="D221" s="12" t="s">
        <v>54</v>
      </c>
      <c r="E221" s="7">
        <v>1159927</v>
      </c>
      <c r="F221" s="7">
        <v>745910</v>
      </c>
      <c r="G221" s="8">
        <f>F221/E221</f>
        <v>0.64306633089841003</v>
      </c>
      <c r="H221" s="2" t="str" cm="1">
        <f t="array" ref="H221">_xlfn.IFS(G221&gt;=106%,"Excellent", G221&gt;=100%,"Good", G221&gt;=80%,"Average", G221&lt;80%,"Poor")</f>
        <v>Poor</v>
      </c>
      <c r="I221" t="str" cm="1">
        <f t="array" ref="I221">_xlfn.IFS(H221="Poor","Below Target",  H221="Average","Near Target",  H221="Good","Target Achieved", H221="Excellent","Target Exceeded")</f>
        <v>Below Target</v>
      </c>
    </row>
    <row r="222" spans="1:9" x14ac:dyDescent="0.3">
      <c r="A222" s="2" t="s">
        <v>190</v>
      </c>
      <c r="B222" s="2" t="s">
        <v>34</v>
      </c>
      <c r="C222" s="2" t="s">
        <v>56</v>
      </c>
      <c r="D222" s="12" t="s">
        <v>54</v>
      </c>
      <c r="E222" s="7">
        <v>1011672</v>
      </c>
      <c r="F222" s="7">
        <v>609479</v>
      </c>
      <c r="G222" s="8">
        <f>F222/E222</f>
        <v>0.60244723586300697</v>
      </c>
      <c r="H222" s="2" t="str" cm="1">
        <f t="array" ref="H222">_xlfn.IFS(G222&gt;=106%,"Excellent", G222&gt;=100%,"Good", G222&gt;=80%,"Average", G222&lt;80%,"Poor")</f>
        <v>Poor</v>
      </c>
      <c r="I222" t="str" cm="1">
        <f t="array" ref="I222">_xlfn.IFS(H222="Poor","Below Target",  H222="Average","Near Target",  H222="Good","Target Achieved", H222="Excellent","Target Exceeded")</f>
        <v>Below Target</v>
      </c>
    </row>
    <row r="223" spans="1:9" x14ac:dyDescent="0.3">
      <c r="A223" s="2" t="s">
        <v>414</v>
      </c>
      <c r="B223" s="2" t="s">
        <v>42</v>
      </c>
      <c r="C223" s="2" t="s">
        <v>9</v>
      </c>
      <c r="D223" s="12" t="s">
        <v>54</v>
      </c>
      <c r="E223" s="7">
        <v>1971738</v>
      </c>
      <c r="F223" s="7">
        <v>539943</v>
      </c>
      <c r="G223" s="8">
        <f>F223/E223</f>
        <v>0.27384114928048248</v>
      </c>
      <c r="H223" s="2" t="str" cm="1">
        <f t="array" ref="H223">_xlfn.IFS(G223&gt;=106%,"Excellent", G223&gt;=100%,"Good", G223&gt;=80%,"Average", G223&lt;80%,"Poor")</f>
        <v>Poor</v>
      </c>
      <c r="I223" t="str" cm="1">
        <f t="array" ref="I223">_xlfn.IFS(H223="Poor","Below Target",  H223="Average","Near Target",  H223="Good","Target Achieved", H223="Excellent","Target Exceeded")</f>
        <v>Below Target</v>
      </c>
    </row>
    <row r="224" spans="1:9" x14ac:dyDescent="0.3">
      <c r="A224" s="2" t="s">
        <v>123</v>
      </c>
      <c r="B224" s="2" t="s">
        <v>17</v>
      </c>
      <c r="C224" s="2" t="s">
        <v>13</v>
      </c>
      <c r="D224" s="12" t="s">
        <v>124</v>
      </c>
      <c r="E224" s="7">
        <v>671931</v>
      </c>
      <c r="F224" s="7">
        <v>1179178</v>
      </c>
      <c r="G224" s="8">
        <f>F224/E224</f>
        <v>1.7549093582525586</v>
      </c>
      <c r="H224" s="2" t="str" cm="1">
        <f t="array" ref="H224">_xlfn.IFS(G224&gt;=106%,"Excellent", G224&gt;=100%,"Good", G224&gt;=80%,"Average", G224&lt;80%,"Poor")</f>
        <v>Excellent</v>
      </c>
      <c r="I224" t="str" cm="1">
        <f t="array" ref="I224">_xlfn.IFS(H224="Poor","Below Target",  H224="Average","Near Target",  H224="Good","Target Achieved", H224="Excellent","Target Exceeded")</f>
        <v>Target Exceeded</v>
      </c>
    </row>
    <row r="225" spans="1:9" x14ac:dyDescent="0.3">
      <c r="A225" s="2" t="s">
        <v>80</v>
      </c>
      <c r="B225" s="2" t="s">
        <v>8</v>
      </c>
      <c r="C225" s="2" t="s">
        <v>13</v>
      </c>
      <c r="D225" s="12" t="s">
        <v>81</v>
      </c>
      <c r="E225" s="7">
        <v>763738</v>
      </c>
      <c r="F225" s="7">
        <v>569256</v>
      </c>
      <c r="G225" s="8">
        <f>F225/E225</f>
        <v>0.74535508250211457</v>
      </c>
      <c r="H225" s="2" t="str" cm="1">
        <f t="array" ref="H225">_xlfn.IFS(G225&gt;=106%,"Excellent", G225&gt;=100%,"Good", G225&gt;=80%,"Average", G225&lt;80%,"Poor")</f>
        <v>Poor</v>
      </c>
      <c r="I225" t="str" cm="1">
        <f t="array" ref="I225">_xlfn.IFS(H225="Poor","Below Target",  H225="Average","Near Target",  H225="Good","Target Achieved", H225="Excellent","Target Exceeded")</f>
        <v>Below Target</v>
      </c>
    </row>
    <row r="226" spans="1:9" x14ac:dyDescent="0.3">
      <c r="A226" s="2" t="s">
        <v>160</v>
      </c>
      <c r="B226" s="2" t="s">
        <v>49</v>
      </c>
      <c r="C226" s="2" t="s">
        <v>24</v>
      </c>
      <c r="D226" s="12" t="s">
        <v>81</v>
      </c>
      <c r="E226" s="7">
        <v>967504</v>
      </c>
      <c r="F226" s="7">
        <v>349627</v>
      </c>
      <c r="G226" s="8">
        <f>F226/E226</f>
        <v>0.36137008219087469</v>
      </c>
      <c r="H226" s="2" t="str" cm="1">
        <f t="array" ref="H226">_xlfn.IFS(G226&gt;=106%,"Excellent", G226&gt;=100%,"Good", G226&gt;=80%,"Average", G226&lt;80%,"Poor")</f>
        <v>Poor</v>
      </c>
      <c r="I226" t="str" cm="1">
        <f t="array" ref="I226">_xlfn.IFS(H226="Poor","Below Target",  H226="Average","Near Target",  H226="Good","Target Achieved", H226="Excellent","Target Exceeded")</f>
        <v>Below Target</v>
      </c>
    </row>
    <row r="227" spans="1:9" x14ac:dyDescent="0.3">
      <c r="A227" s="2" t="s">
        <v>361</v>
      </c>
      <c r="B227" s="2" t="s">
        <v>49</v>
      </c>
      <c r="C227" s="2" t="s">
        <v>31</v>
      </c>
      <c r="D227" s="12" t="s">
        <v>81</v>
      </c>
      <c r="E227" s="7">
        <v>546010</v>
      </c>
      <c r="F227" s="7">
        <v>2040714</v>
      </c>
      <c r="G227" s="8">
        <f>F227/E227</f>
        <v>3.7375029761359682</v>
      </c>
      <c r="H227" s="2" t="str" cm="1">
        <f t="array" ref="H227">_xlfn.IFS(G227&gt;=106%,"Excellent", G227&gt;=100%,"Good", G227&gt;=80%,"Average", G227&lt;80%,"Poor")</f>
        <v>Excellent</v>
      </c>
      <c r="I227" t="str" cm="1">
        <f t="array" ref="I227">_xlfn.IFS(H227="Poor","Below Target",  H227="Average","Near Target",  H227="Good","Target Achieved", H227="Excellent","Target Exceeded")</f>
        <v>Target Exceeded</v>
      </c>
    </row>
    <row r="228" spans="1:9" x14ac:dyDescent="0.3">
      <c r="A228" s="2" t="s">
        <v>366</v>
      </c>
      <c r="B228" s="2" t="s">
        <v>20</v>
      </c>
      <c r="C228" s="2" t="s">
        <v>13</v>
      </c>
      <c r="D228" s="12" t="s">
        <v>81</v>
      </c>
      <c r="E228" s="7">
        <v>1025602</v>
      </c>
      <c r="F228" s="7">
        <v>1721375</v>
      </c>
      <c r="G228" s="8">
        <f>F228/E228</f>
        <v>1.6784044882907794</v>
      </c>
      <c r="H228" s="2" t="str" cm="1">
        <f t="array" ref="H228">_xlfn.IFS(G228&gt;=106%,"Excellent", G228&gt;=100%,"Good", G228&gt;=80%,"Average", G228&lt;80%,"Poor")</f>
        <v>Excellent</v>
      </c>
      <c r="I228" t="str" cm="1">
        <f t="array" ref="I228">_xlfn.IFS(H228="Poor","Below Target",  H228="Average","Near Target",  H228="Good","Target Achieved", H228="Excellent","Target Exceeded")</f>
        <v>Target Exceeded</v>
      </c>
    </row>
    <row r="229" spans="1:9" x14ac:dyDescent="0.3">
      <c r="A229" s="2" t="s">
        <v>182</v>
      </c>
      <c r="B229" s="2" t="s">
        <v>27</v>
      </c>
      <c r="C229" s="2" t="s">
        <v>9</v>
      </c>
      <c r="D229" s="12" t="s">
        <v>183</v>
      </c>
      <c r="E229" s="7">
        <v>1095143</v>
      </c>
      <c r="F229" s="7">
        <v>1380981</v>
      </c>
      <c r="G229" s="8">
        <f>F229/E229</f>
        <v>1.261005183797915</v>
      </c>
      <c r="H229" s="2" t="str" cm="1">
        <f t="array" ref="H229">_xlfn.IFS(G229&gt;=106%,"Excellent", G229&gt;=100%,"Good", G229&gt;=80%,"Average", G229&lt;80%,"Poor")</f>
        <v>Excellent</v>
      </c>
      <c r="I229" t="str" cm="1">
        <f t="array" ref="I229">_xlfn.IFS(H229="Poor","Below Target",  H229="Average","Near Target",  H229="Good","Target Achieved", H229="Excellent","Target Exceeded")</f>
        <v>Target Exceeded</v>
      </c>
    </row>
    <row r="230" spans="1:9" x14ac:dyDescent="0.3">
      <c r="A230" s="2" t="s">
        <v>424</v>
      </c>
      <c r="B230" s="2" t="s">
        <v>8</v>
      </c>
      <c r="C230" s="2" t="s">
        <v>56</v>
      </c>
      <c r="D230" s="12" t="s">
        <v>425</v>
      </c>
      <c r="E230" s="7">
        <v>1241548</v>
      </c>
      <c r="F230" s="7">
        <v>2132087</v>
      </c>
      <c r="G230" s="8">
        <f>F230/E230</f>
        <v>1.7172811683479012</v>
      </c>
      <c r="H230" s="2" t="str" cm="1">
        <f t="array" ref="H230">_xlfn.IFS(G230&gt;=106%,"Excellent", G230&gt;=100%,"Good", G230&gt;=80%,"Average", G230&lt;80%,"Poor")</f>
        <v>Excellent</v>
      </c>
      <c r="I230" t="str" cm="1">
        <f t="array" ref="I230">_xlfn.IFS(H230="Poor","Below Target",  H230="Average","Near Target",  H230="Good","Target Achieved", H230="Excellent","Target Exceeded")</f>
        <v>Target Exceeded</v>
      </c>
    </row>
    <row r="231" spans="1:9" x14ac:dyDescent="0.3">
      <c r="A231" s="2" t="s">
        <v>172</v>
      </c>
      <c r="B231" s="2" t="s">
        <v>8</v>
      </c>
      <c r="C231" s="2" t="s">
        <v>31</v>
      </c>
      <c r="D231" s="12" t="s">
        <v>173</v>
      </c>
      <c r="E231" s="7">
        <v>1563512</v>
      </c>
      <c r="F231" s="7">
        <v>948616</v>
      </c>
      <c r="G231" s="8">
        <f>F231/E231</f>
        <v>0.6067212787621713</v>
      </c>
      <c r="H231" s="2" t="str" cm="1">
        <f t="array" ref="H231">_xlfn.IFS(G231&gt;=106%,"Excellent", G231&gt;=100%,"Good", G231&gt;=80%,"Average", G231&lt;80%,"Poor")</f>
        <v>Poor</v>
      </c>
      <c r="I231" t="str" cm="1">
        <f t="array" ref="I231">_xlfn.IFS(H231="Poor","Below Target",  H231="Average","Near Target",  H231="Good","Target Achieved", H231="Excellent","Target Exceeded")</f>
        <v>Below Target</v>
      </c>
    </row>
    <row r="232" spans="1:9" x14ac:dyDescent="0.3">
      <c r="A232" s="2" t="s">
        <v>300</v>
      </c>
      <c r="B232" s="2" t="s">
        <v>49</v>
      </c>
      <c r="C232" s="2" t="s">
        <v>9</v>
      </c>
      <c r="D232" s="12" t="s">
        <v>301</v>
      </c>
      <c r="E232" s="7">
        <v>691526</v>
      </c>
      <c r="F232" s="7">
        <v>780089</v>
      </c>
      <c r="G232" s="8">
        <f>F232/E232</f>
        <v>1.1280689373935326</v>
      </c>
      <c r="H232" s="2" t="str" cm="1">
        <f t="array" ref="H232">_xlfn.IFS(G232&gt;=106%,"Excellent", G232&gt;=100%,"Good", G232&gt;=80%,"Average", G232&lt;80%,"Poor")</f>
        <v>Excellent</v>
      </c>
      <c r="I232" t="str" cm="1">
        <f t="array" ref="I232">_xlfn.IFS(H232="Poor","Below Target",  H232="Average","Near Target",  H232="Good","Target Achieved", H232="Excellent","Target Exceeded")</f>
        <v>Target Exceeded</v>
      </c>
    </row>
    <row r="233" spans="1:9" x14ac:dyDescent="0.3">
      <c r="A233" s="2" t="s">
        <v>430</v>
      </c>
      <c r="B233" s="2" t="s">
        <v>42</v>
      </c>
      <c r="C233" s="2" t="s">
        <v>13</v>
      </c>
      <c r="D233" s="12" t="s">
        <v>301</v>
      </c>
      <c r="E233" s="7">
        <v>1803849</v>
      </c>
      <c r="F233" s="7">
        <v>1586756</v>
      </c>
      <c r="G233" s="8">
        <f>F233/E233</f>
        <v>0.87965012592517444</v>
      </c>
      <c r="H233" s="2" t="str" cm="1">
        <f t="array" ref="H233">_xlfn.IFS(G233&gt;=106%,"Excellent", G233&gt;=100%,"Good", G233&gt;=80%,"Average", G233&lt;80%,"Poor")</f>
        <v>Average</v>
      </c>
      <c r="I233" t="str" cm="1">
        <f t="array" ref="I233">_xlfn.IFS(H233="Poor","Below Target",  H233="Average","Near Target",  H233="Good","Target Achieved", H233="Excellent","Target Exceeded")</f>
        <v>Near Target</v>
      </c>
    </row>
    <row r="234" spans="1:9" x14ac:dyDescent="0.3">
      <c r="A234" s="2" t="s">
        <v>438</v>
      </c>
      <c r="B234" s="2" t="s">
        <v>27</v>
      </c>
      <c r="C234" s="2" t="s">
        <v>24</v>
      </c>
      <c r="D234" s="12" t="s">
        <v>301</v>
      </c>
      <c r="E234" s="7">
        <v>1795700</v>
      </c>
      <c r="F234" s="7">
        <v>404359</v>
      </c>
      <c r="G234" s="8">
        <f>F234/E234</f>
        <v>0.22518182324441721</v>
      </c>
      <c r="H234" s="2" t="str" cm="1">
        <f t="array" ref="H234">_xlfn.IFS(G234&gt;=106%,"Excellent", G234&gt;=100%,"Good", G234&gt;=80%,"Average", G234&lt;80%,"Poor")</f>
        <v>Poor</v>
      </c>
      <c r="I234" t="str" cm="1">
        <f t="array" ref="I234">_xlfn.IFS(H234="Poor","Below Target",  H234="Average","Near Target",  H234="Good","Target Achieved", H234="Excellent","Target Exceeded")</f>
        <v>Below Target</v>
      </c>
    </row>
    <row r="235" spans="1:9" x14ac:dyDescent="0.3">
      <c r="A235" s="2" t="s">
        <v>176</v>
      </c>
      <c r="B235" s="2" t="s">
        <v>20</v>
      </c>
      <c r="C235" s="2" t="s">
        <v>56</v>
      </c>
      <c r="D235" s="12" t="s">
        <v>177</v>
      </c>
      <c r="E235" s="7">
        <v>1894458</v>
      </c>
      <c r="F235" s="7">
        <v>1095125</v>
      </c>
      <c r="G235" s="8">
        <f>F235/E235</f>
        <v>0.57806771118705191</v>
      </c>
      <c r="H235" s="2" t="str" cm="1">
        <f t="array" ref="H235">_xlfn.IFS(G235&gt;=106%,"Excellent", G235&gt;=100%,"Good", G235&gt;=80%,"Average", G235&lt;80%,"Poor")</f>
        <v>Poor</v>
      </c>
      <c r="I235" t="str" cm="1">
        <f t="array" ref="I235">_xlfn.IFS(H235="Poor","Below Target",  H235="Average","Near Target",  H235="Good","Target Achieved", H235="Excellent","Target Exceeded")</f>
        <v>Below Target</v>
      </c>
    </row>
    <row r="236" spans="1:9" x14ac:dyDescent="0.3">
      <c r="A236" s="2" t="s">
        <v>442</v>
      </c>
      <c r="B236" s="2" t="s">
        <v>37</v>
      </c>
      <c r="C236" s="2" t="s">
        <v>56</v>
      </c>
      <c r="D236" s="12" t="s">
        <v>443</v>
      </c>
      <c r="E236" s="7">
        <v>732552</v>
      </c>
      <c r="F236" s="7">
        <v>894010</v>
      </c>
      <c r="G236" s="8">
        <f>F236/E236</f>
        <v>1.22040483132938</v>
      </c>
      <c r="H236" s="2" t="str" cm="1">
        <f t="array" ref="H236">_xlfn.IFS(G236&gt;=106%,"Excellent", G236&gt;=100%,"Good", G236&gt;=80%,"Average", G236&lt;80%,"Poor")</f>
        <v>Excellent</v>
      </c>
      <c r="I236" t="str" cm="1">
        <f t="array" ref="I236">_xlfn.IFS(H236="Poor","Below Target",  H236="Average","Near Target",  H236="Good","Target Achieved", H236="Excellent","Target Exceeded")</f>
        <v>Target Exceeded</v>
      </c>
    </row>
    <row r="237" spans="1:9" x14ac:dyDescent="0.3">
      <c r="A237" s="2" t="s">
        <v>362</v>
      </c>
      <c r="B237" s="2" t="s">
        <v>49</v>
      </c>
      <c r="C237" s="2" t="s">
        <v>9</v>
      </c>
      <c r="D237" s="12" t="s">
        <v>363</v>
      </c>
      <c r="E237" s="7">
        <v>1686839</v>
      </c>
      <c r="F237" s="7">
        <v>2114177</v>
      </c>
      <c r="G237" s="8">
        <f>F237/E237</f>
        <v>1.2533365662045992</v>
      </c>
      <c r="H237" s="2" t="str" cm="1">
        <f t="array" ref="H237">_xlfn.IFS(G237&gt;=106%,"Excellent", G237&gt;=100%,"Good", G237&gt;=80%,"Average", G237&lt;80%,"Poor")</f>
        <v>Excellent</v>
      </c>
      <c r="I237" t="str" cm="1">
        <f t="array" ref="I237">_xlfn.IFS(H237="Poor","Below Target",  H237="Average","Near Target",  H237="Good","Target Achieved", H237="Excellent","Target Exceeded")</f>
        <v>Target Exceeded</v>
      </c>
    </row>
    <row r="238" spans="1:9" x14ac:dyDescent="0.3">
      <c r="A238" s="2" t="s">
        <v>390</v>
      </c>
      <c r="B238" s="2" t="s">
        <v>34</v>
      </c>
      <c r="C238" s="2" t="s">
        <v>24</v>
      </c>
      <c r="D238" s="12" t="s">
        <v>363</v>
      </c>
      <c r="E238" s="7">
        <v>1260607</v>
      </c>
      <c r="F238" s="7">
        <v>508361</v>
      </c>
      <c r="G238" s="8">
        <f>F238/E238</f>
        <v>0.4032668389117306</v>
      </c>
      <c r="H238" s="2" t="str" cm="1">
        <f t="array" ref="H238">_xlfn.IFS(G238&gt;=106%,"Excellent", G238&gt;=100%,"Good", G238&gt;=80%,"Average", G238&lt;80%,"Poor")</f>
        <v>Poor</v>
      </c>
      <c r="I238" t="str" cm="1">
        <f t="array" ref="I238">_xlfn.IFS(H238="Poor","Below Target",  H238="Average","Near Target",  H238="Good","Target Achieved", H238="Excellent","Target Exceeded")</f>
        <v>Below Target</v>
      </c>
    </row>
    <row r="239" spans="1:9" x14ac:dyDescent="0.3">
      <c r="A239" s="2" t="s">
        <v>295</v>
      </c>
      <c r="B239" s="2" t="s">
        <v>49</v>
      </c>
      <c r="C239" s="2" t="s">
        <v>56</v>
      </c>
      <c r="D239" s="12" t="s">
        <v>296</v>
      </c>
      <c r="E239" s="7">
        <v>760788</v>
      </c>
      <c r="F239" s="7">
        <v>1282930</v>
      </c>
      <c r="G239" s="8">
        <f>F239/E239</f>
        <v>1.6863173446479176</v>
      </c>
      <c r="H239" s="2" t="str" cm="1">
        <f t="array" ref="H239">_xlfn.IFS(G239&gt;=106%,"Excellent", G239&gt;=100%,"Good", G239&gt;=80%,"Average", G239&lt;80%,"Poor")</f>
        <v>Excellent</v>
      </c>
      <c r="I239" t="str" cm="1">
        <f t="array" ref="I239">_xlfn.IFS(H239="Poor","Below Target",  H239="Average","Near Target",  H239="Good","Target Achieved", H239="Excellent","Target Exceeded")</f>
        <v>Target Exceeded</v>
      </c>
    </row>
    <row r="240" spans="1:9" x14ac:dyDescent="0.3">
      <c r="A240" s="2" t="s">
        <v>145</v>
      </c>
      <c r="B240" s="2" t="s">
        <v>17</v>
      </c>
      <c r="C240" s="2" t="s">
        <v>9</v>
      </c>
      <c r="D240" s="12" t="s">
        <v>146</v>
      </c>
      <c r="E240" s="7">
        <v>657797</v>
      </c>
      <c r="F240" s="7">
        <v>2152008</v>
      </c>
      <c r="G240" s="8">
        <f>F240/E240</f>
        <v>3.2715381797119778</v>
      </c>
      <c r="H240" s="2" t="str" cm="1">
        <f t="array" ref="H240">_xlfn.IFS(G240&gt;=106%,"Excellent", G240&gt;=100%,"Good", G240&gt;=80%,"Average", G240&lt;80%,"Poor")</f>
        <v>Excellent</v>
      </c>
      <c r="I240" t="str" cm="1">
        <f t="array" ref="I240">_xlfn.IFS(H240="Poor","Below Target",  H240="Average","Near Target",  H240="Good","Target Achieved", H240="Excellent","Target Exceeded")</f>
        <v>Target Exceeded</v>
      </c>
    </row>
    <row r="241" spans="1:9" x14ac:dyDescent="0.3">
      <c r="A241" s="2" t="s">
        <v>262</v>
      </c>
      <c r="B241" s="2" t="s">
        <v>37</v>
      </c>
      <c r="C241" s="2" t="s">
        <v>9</v>
      </c>
      <c r="D241" s="12" t="s">
        <v>146</v>
      </c>
      <c r="E241" s="7">
        <v>1623788</v>
      </c>
      <c r="F241" s="7">
        <v>1898427</v>
      </c>
      <c r="G241" s="8">
        <f>F241/E241</f>
        <v>1.1691347638977503</v>
      </c>
      <c r="H241" s="2" t="str" cm="1">
        <f t="array" ref="H241">_xlfn.IFS(G241&gt;=106%,"Excellent", G241&gt;=100%,"Good", G241&gt;=80%,"Average", G241&lt;80%,"Poor")</f>
        <v>Excellent</v>
      </c>
      <c r="I241" t="str" cm="1">
        <f t="array" ref="I241">_xlfn.IFS(H241="Poor","Below Target",  H241="Average","Near Target",  H241="Good","Target Achieved", H241="Excellent","Target Exceeded")</f>
        <v>Target Exceeded</v>
      </c>
    </row>
    <row r="242" spans="1:9" x14ac:dyDescent="0.3">
      <c r="A242" s="2" t="s">
        <v>204</v>
      </c>
      <c r="B242" s="2" t="s">
        <v>27</v>
      </c>
      <c r="C242" s="2" t="s">
        <v>24</v>
      </c>
      <c r="D242" s="12" t="s">
        <v>205</v>
      </c>
      <c r="E242" s="7">
        <v>984990</v>
      </c>
      <c r="F242" s="7">
        <v>1103283</v>
      </c>
      <c r="G242" s="8">
        <f>F242/E242</f>
        <v>1.1200956354886851</v>
      </c>
      <c r="H242" s="2" t="str" cm="1">
        <f t="array" ref="H242">_xlfn.IFS(G242&gt;=106%,"Excellent", G242&gt;=100%,"Good", G242&gt;=80%,"Average", G242&lt;80%,"Poor")</f>
        <v>Excellent</v>
      </c>
      <c r="I242" t="str" cm="1">
        <f t="array" ref="I242">_xlfn.IFS(H242="Poor","Below Target",  H242="Average","Near Target",  H242="Good","Target Achieved", H242="Excellent","Target Exceeded")</f>
        <v>Target Exceeded</v>
      </c>
    </row>
    <row r="243" spans="1:9" x14ac:dyDescent="0.3">
      <c r="A243" s="2" t="s">
        <v>308</v>
      </c>
      <c r="B243" s="2" t="s">
        <v>8</v>
      </c>
      <c r="C243" s="2" t="s">
        <v>24</v>
      </c>
      <c r="D243" s="12" t="s">
        <v>205</v>
      </c>
      <c r="E243" s="7">
        <v>1191648</v>
      </c>
      <c r="F243" s="7">
        <v>1163282</v>
      </c>
      <c r="G243" s="8">
        <f>F243/E243</f>
        <v>0.97619599076237273</v>
      </c>
      <c r="H243" s="2" t="str" cm="1">
        <f t="array" ref="H243">_xlfn.IFS(G243&gt;=106%,"Excellent", G243&gt;=100%,"Good", G243&gt;=80%,"Average", G243&lt;80%,"Poor")</f>
        <v>Average</v>
      </c>
      <c r="I243" t="str" cm="1">
        <f t="array" ref="I243">_xlfn.IFS(H243="Poor","Below Target",  H243="Average","Near Target",  H243="Good","Target Achieved", H243="Excellent","Target Exceeded")</f>
        <v>Near Target</v>
      </c>
    </row>
    <row r="244" spans="1:9" x14ac:dyDescent="0.3">
      <c r="A244" s="2" t="s">
        <v>113</v>
      </c>
      <c r="B244" s="2" t="s">
        <v>49</v>
      </c>
      <c r="C244" s="2" t="s">
        <v>56</v>
      </c>
      <c r="D244" s="12" t="s">
        <v>114</v>
      </c>
      <c r="E244" s="7">
        <v>1098210</v>
      </c>
      <c r="F244" s="7">
        <v>1187110</v>
      </c>
      <c r="G244" s="8">
        <f>F244/E244</f>
        <v>1.0809499093980204</v>
      </c>
      <c r="H244" s="2" t="str" cm="1">
        <f t="array" ref="H244">_xlfn.IFS(G244&gt;=106%,"Excellent", G244&gt;=100%,"Good", G244&gt;=80%,"Average", G244&lt;80%,"Poor")</f>
        <v>Excellent</v>
      </c>
      <c r="I244" t="str" cm="1">
        <f t="array" ref="I244">_xlfn.IFS(H244="Poor","Below Target",  H244="Average","Near Target",  H244="Good","Target Achieved", H244="Excellent","Target Exceeded")</f>
        <v>Target Exceeded</v>
      </c>
    </row>
    <row r="245" spans="1:9" x14ac:dyDescent="0.3">
      <c r="A245" s="2" t="s">
        <v>191</v>
      </c>
      <c r="B245" s="2" t="s">
        <v>8</v>
      </c>
      <c r="C245" s="2" t="s">
        <v>56</v>
      </c>
      <c r="D245" s="12" t="s">
        <v>114</v>
      </c>
      <c r="E245" s="7">
        <v>958943</v>
      </c>
      <c r="F245" s="7">
        <v>668861</v>
      </c>
      <c r="G245" s="8">
        <f>F245/E245</f>
        <v>0.69749818289512511</v>
      </c>
      <c r="H245" s="2" t="str" cm="1">
        <f t="array" ref="H245">_xlfn.IFS(G245&gt;=106%,"Excellent", G245&gt;=100%,"Good", G245&gt;=80%,"Average", G245&lt;80%,"Poor")</f>
        <v>Poor</v>
      </c>
      <c r="I245" t="str" cm="1">
        <f t="array" ref="I245">_xlfn.IFS(H245="Poor","Below Target",  H245="Average","Near Target",  H245="Good","Target Achieved", H245="Excellent","Target Exceeded")</f>
        <v>Below Target</v>
      </c>
    </row>
    <row r="246" spans="1:9" x14ac:dyDescent="0.3">
      <c r="A246" s="2" t="s">
        <v>386</v>
      </c>
      <c r="B246" s="2" t="s">
        <v>42</v>
      </c>
      <c r="C246" s="2" t="s">
        <v>56</v>
      </c>
      <c r="D246" s="12" t="s">
        <v>114</v>
      </c>
      <c r="E246" s="7">
        <v>1278067</v>
      </c>
      <c r="F246" s="7">
        <v>1706111</v>
      </c>
      <c r="G246" s="8">
        <f>F246/E246</f>
        <v>1.3349151492057929</v>
      </c>
      <c r="H246" s="2" t="str" cm="1">
        <f t="array" ref="H246">_xlfn.IFS(G246&gt;=106%,"Excellent", G246&gt;=100%,"Good", G246&gt;=80%,"Average", G246&lt;80%,"Poor")</f>
        <v>Excellent</v>
      </c>
      <c r="I246" t="str" cm="1">
        <f t="array" ref="I246">_xlfn.IFS(H246="Poor","Below Target",  H246="Average","Near Target",  H246="Good","Target Achieved", H246="Excellent","Target Exceeded")</f>
        <v>Target Exceeded</v>
      </c>
    </row>
    <row r="247" spans="1:9" x14ac:dyDescent="0.3">
      <c r="A247" s="2" t="s">
        <v>269</v>
      </c>
      <c r="B247" s="2" t="s">
        <v>17</v>
      </c>
      <c r="C247" s="2" t="s">
        <v>9</v>
      </c>
      <c r="D247" s="12" t="s">
        <v>270</v>
      </c>
      <c r="E247" s="7">
        <v>1660477</v>
      </c>
      <c r="F247" s="7">
        <v>912654</v>
      </c>
      <c r="G247" s="8">
        <f>F247/E247</f>
        <v>0.54963362937276461</v>
      </c>
      <c r="H247" s="2" t="str" cm="1">
        <f t="array" ref="H247">_xlfn.IFS(G247&gt;=106%,"Excellent", G247&gt;=100%,"Good", G247&gt;=80%,"Average", G247&lt;80%,"Poor")</f>
        <v>Poor</v>
      </c>
      <c r="I247" t="str" cm="1">
        <f t="array" ref="I247">_xlfn.IFS(H247="Poor","Below Target",  H247="Average","Near Target",  H247="Good","Target Achieved", H247="Excellent","Target Exceeded")</f>
        <v>Below Target</v>
      </c>
    </row>
    <row r="248" spans="1:9" x14ac:dyDescent="0.3">
      <c r="A248" s="2" t="s">
        <v>259</v>
      </c>
      <c r="B248" s="2" t="s">
        <v>42</v>
      </c>
      <c r="C248" s="2" t="s">
        <v>13</v>
      </c>
      <c r="D248" s="12" t="s">
        <v>260</v>
      </c>
      <c r="E248" s="7">
        <v>1193719</v>
      </c>
      <c r="F248" s="7">
        <v>1037800</v>
      </c>
      <c r="G248" s="8">
        <f>F248/E248</f>
        <v>0.86938383321367929</v>
      </c>
      <c r="H248" s="2" t="str" cm="1">
        <f t="array" ref="H248">_xlfn.IFS(G248&gt;=106%,"Excellent", G248&gt;=100%,"Good", G248&gt;=80%,"Average", G248&lt;80%,"Poor")</f>
        <v>Average</v>
      </c>
      <c r="I248" t="str" cm="1">
        <f t="array" ref="I248">_xlfn.IFS(H248="Poor","Below Target",  H248="Average","Near Target",  H248="Good","Target Achieved", H248="Excellent","Target Exceeded")</f>
        <v>Near Target</v>
      </c>
    </row>
    <row r="249" spans="1:9" x14ac:dyDescent="0.3">
      <c r="A249" s="2" t="s">
        <v>431</v>
      </c>
      <c r="B249" s="2" t="s">
        <v>49</v>
      </c>
      <c r="C249" s="2" t="s">
        <v>9</v>
      </c>
      <c r="D249" s="12" t="s">
        <v>260</v>
      </c>
      <c r="E249" s="7">
        <v>878359</v>
      </c>
      <c r="F249" s="7">
        <v>873089</v>
      </c>
      <c r="G249" s="8">
        <f>F249/E249</f>
        <v>0.99400017532694496</v>
      </c>
      <c r="H249" s="2" t="str" cm="1">
        <f t="array" ref="H249">_xlfn.IFS(G249&gt;=106%,"Excellent", G249&gt;=100%,"Good", G249&gt;=80%,"Average", G249&lt;80%,"Poor")</f>
        <v>Average</v>
      </c>
      <c r="I249" t="str" cm="1">
        <f t="array" ref="I249">_xlfn.IFS(H249="Poor","Below Target",  H249="Average","Near Target",  H249="Good","Target Achieved", H249="Excellent","Target Exceeded")</f>
        <v>Near Target</v>
      </c>
    </row>
    <row r="250" spans="1:9" x14ac:dyDescent="0.3">
      <c r="A250" s="2" t="s">
        <v>449</v>
      </c>
      <c r="B250" s="2" t="s">
        <v>27</v>
      </c>
      <c r="C250" s="2" t="s">
        <v>24</v>
      </c>
      <c r="D250" s="12" t="s">
        <v>450</v>
      </c>
      <c r="E250" s="7">
        <v>1297352</v>
      </c>
      <c r="F250" s="7">
        <v>1416906</v>
      </c>
      <c r="G250" s="8">
        <f>F250/E250</f>
        <v>1.0921523225770646</v>
      </c>
      <c r="H250" s="2" t="str" cm="1">
        <f t="array" ref="H250">_xlfn.IFS(G250&gt;=106%,"Excellent", G250&gt;=100%,"Good", G250&gt;=80%,"Average", G250&lt;80%,"Poor")</f>
        <v>Excellent</v>
      </c>
      <c r="I250" t="str" cm="1">
        <f t="array" ref="I250">_xlfn.IFS(H250="Poor","Below Target",  H250="Average","Near Target",  H250="Good","Target Achieved", H250="Excellent","Target Exceeded")</f>
        <v>Target Exceeded</v>
      </c>
    </row>
    <row r="251" spans="1:9" x14ac:dyDescent="0.3">
      <c r="A251" s="2" t="s">
        <v>84</v>
      </c>
      <c r="B251" s="2" t="s">
        <v>20</v>
      </c>
      <c r="C251" s="2" t="s">
        <v>13</v>
      </c>
      <c r="D251" s="12" t="s">
        <v>85</v>
      </c>
      <c r="E251" s="7">
        <v>1946757</v>
      </c>
      <c r="F251" s="7">
        <v>721844</v>
      </c>
      <c r="G251" s="8">
        <f>F251/E251</f>
        <v>0.37079306765045661</v>
      </c>
      <c r="H251" s="2" t="str" cm="1">
        <f t="array" ref="H251">_xlfn.IFS(G251&gt;=106%,"Excellent", G251&gt;=100%,"Good", G251&gt;=80%,"Average", G251&lt;80%,"Poor")</f>
        <v>Poor</v>
      </c>
      <c r="I251" t="str" cm="1">
        <f t="array" ref="I251">_xlfn.IFS(H251="Poor","Below Target",  H251="Average","Near Target",  H251="Good","Target Achieved", H251="Excellent","Target Exceeded")</f>
        <v>Below Target</v>
      </c>
    </row>
  </sheetData>
  <conditionalFormatting sqref="I2:I251">
    <cfRule type="containsText" dxfId="16" priority="5" operator="containsText" text="Near Target">
      <formula>NOT(ISERROR(SEARCH("Near Target",I2)))</formula>
    </cfRule>
    <cfRule type="containsText" dxfId="15" priority="6" operator="containsText" text="Near">
      <formula>NOT(ISERROR(SEARCH("Near",I2)))</formula>
    </cfRule>
    <cfRule type="containsText" dxfId="14" priority="8" operator="containsText" text="Below Target">
      <formula>NOT(ISERROR(SEARCH("Below Target",I2)))</formula>
    </cfRule>
    <cfRule type="containsText" dxfId="13" priority="10" operator="containsText" text="Below Target">
      <formula>NOT(ISERROR(SEARCH("Below Target",I2)))</formula>
    </cfRule>
  </conditionalFormatting>
  <conditionalFormatting sqref="I3:I251">
    <cfRule type="containsText" dxfId="12" priority="7" operator="containsText" text="Target Exceede">
      <formula>NOT(ISERROR(SEARCH("Target Exceede",I3)))</formula>
    </cfRule>
  </conditionalFormatting>
  <conditionalFormatting sqref="I101:I251">
    <cfRule type="containsText" dxfId="11" priority="3" operator="containsText" text="Target Achieved">
      <formula>NOT(ISERROR(SEARCH("Target Achieved",I101)))</formula>
    </cfRule>
  </conditionalFormatting>
  <conditionalFormatting sqref="I129">
    <cfRule type="containsText" dxfId="10" priority="4" operator="containsText" text="Target Achieved">
      <formula>NOT(ISERROR(SEARCH("Target Achieved",I129)))</formula>
    </cfRule>
  </conditionalFormatting>
  <conditionalFormatting sqref="I6:I251">
    <cfRule type="containsText" dxfId="0" priority="2" operator="containsText" text="Target Achieved">
      <formula>NOT(ISERROR(SEARCH("Target Achieved",I6)))</formula>
    </cfRule>
    <cfRule type="containsText" dxfId="1" priority="1" operator="containsText" text="Target Achieved">
      <formula>NOT(ISERROR(SEARCH("Target Achieved",I6)))</formula>
    </cfRule>
  </conditionalFormatting>
  <dataValidations count="1">
    <dataValidation type="list" errorStyle="warning" allowBlank="1" showInputMessage="1" showErrorMessage="1" errorTitle="Invalid Selection" error="Invalid entry.Please select from the available options." sqref="C2:C251" xr:uid="{5F6788EB-1B9D-4896-B4FD-DA8B13558E12}">
      <formula1>$K$2:$K$6</formula1>
    </dataValidation>
  </dataValidations>
  <pageMargins left="0.7" right="0.7" top="0.75" bottom="0.75" header="0.3" footer="0.3"/>
  <pageSetup orientation="portrait" r:id="rId1"/>
  <headerFooter scaleWithDoc="0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Yosoye Adebowale</cp:lastModifiedBy>
  <dcterms:created xsi:type="dcterms:W3CDTF">2026-02-09T09:20:29Z</dcterms:created>
  <dcterms:modified xsi:type="dcterms:W3CDTF">2026-09-04T06:59:17Z</dcterms:modified>
</cp:coreProperties>
</file>